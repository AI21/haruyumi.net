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work\弓道\春日井弓道会\2021年度\202105_エリア大会\"/>
    </mc:Choice>
  </mc:AlternateContent>
  <xr:revisionPtr revIDLastSave="0" documentId="13_ncr:1_{A6BF5D58-886B-4E02-8265-724CCC73DB95}" xr6:coauthVersionLast="46" xr6:coauthVersionMax="46" xr10:uidLastSave="{00000000-0000-0000-0000-000000000000}"/>
  <bookViews>
    <workbookView xWindow="-110" yWindow="-110" windowWidth="29020" windowHeight="18820" xr2:uid="{00000000-000D-0000-FFFF-FFFF00000000}"/>
  </bookViews>
  <sheets>
    <sheet name="選手" sheetId="1" r:id="rId1"/>
    <sheet name="記録" sheetId="2" r:id="rId2"/>
    <sheet name="成績　団体" sheetId="3" r:id="rId3"/>
    <sheet name="成績　個人" sheetId="12" r:id="rId4"/>
    <sheet name="春日井" sheetId="8" r:id="rId5"/>
    <sheet name="西春日井" sheetId="5" r:id="rId6"/>
    <sheet name="尾張旭" sheetId="6" r:id="rId7"/>
    <sheet name="日進" sheetId="7" r:id="rId8"/>
    <sheet name="瀬戸" sheetId="4" r:id="rId9"/>
    <sheet name="長久手" sheetId="9" r:id="rId10"/>
    <sheet name="豊明" sheetId="10" r:id="rId11"/>
    <sheet name="愛知" sheetId="11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3" i="12" l="1"/>
  <c r="X42" i="2"/>
  <c r="X47" i="2"/>
  <c r="X52" i="2"/>
  <c r="A14" i="11" s="1"/>
  <c r="X53" i="2"/>
  <c r="A15" i="11" s="1"/>
  <c r="X54" i="2"/>
  <c r="A16" i="11" s="1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T5" i="3"/>
  <c r="T4" i="3"/>
  <c r="A5" i="8"/>
  <c r="B5" i="8"/>
  <c r="C5" i="8"/>
  <c r="D5" i="8"/>
  <c r="A6" i="8"/>
  <c r="B6" i="8"/>
  <c r="C6" i="8"/>
  <c r="D6" i="8"/>
  <c r="A7" i="8"/>
  <c r="B7" i="8"/>
  <c r="C7" i="8"/>
  <c r="D7" i="8"/>
  <c r="A8" i="8"/>
  <c r="B8" i="8"/>
  <c r="C8" i="8"/>
  <c r="D8" i="8"/>
  <c r="A10" i="8"/>
  <c r="B10" i="8"/>
  <c r="C10" i="8"/>
  <c r="D10" i="8"/>
  <c r="A11" i="8"/>
  <c r="B11" i="8"/>
  <c r="C11" i="8"/>
  <c r="D11" i="8"/>
  <c r="A12" i="8"/>
  <c r="B12" i="8"/>
  <c r="C12" i="8"/>
  <c r="D12" i="8"/>
  <c r="A13" i="8"/>
  <c r="B13" i="8"/>
  <c r="C13" i="8"/>
  <c r="D13" i="8"/>
  <c r="E5" i="6"/>
  <c r="F5" i="6"/>
  <c r="G5" i="6"/>
  <c r="H5" i="6"/>
  <c r="E6" i="6"/>
  <c r="F6" i="6"/>
  <c r="G6" i="6"/>
  <c r="H6" i="6"/>
  <c r="E7" i="6"/>
  <c r="F7" i="6"/>
  <c r="G7" i="6"/>
  <c r="H7" i="6"/>
  <c r="E8" i="6"/>
  <c r="F8" i="6"/>
  <c r="G8" i="6"/>
  <c r="H8" i="6"/>
  <c r="E10" i="6"/>
  <c r="F10" i="6"/>
  <c r="G10" i="6"/>
  <c r="H10" i="6"/>
  <c r="E11" i="6"/>
  <c r="F11" i="6"/>
  <c r="G11" i="6"/>
  <c r="H11" i="6"/>
  <c r="E12" i="6"/>
  <c r="F12" i="6"/>
  <c r="G12" i="6"/>
  <c r="H12" i="6"/>
  <c r="E13" i="6"/>
  <c r="F13" i="6"/>
  <c r="G13" i="6"/>
  <c r="H13" i="6"/>
  <c r="G14" i="6"/>
  <c r="E5" i="7"/>
  <c r="F5" i="7"/>
  <c r="G5" i="7"/>
  <c r="H5" i="7"/>
  <c r="E6" i="7"/>
  <c r="F6" i="7"/>
  <c r="G6" i="7"/>
  <c r="H6" i="7"/>
  <c r="E7" i="7"/>
  <c r="F7" i="7"/>
  <c r="G7" i="7"/>
  <c r="H7" i="7"/>
  <c r="E8" i="7"/>
  <c r="F8" i="7"/>
  <c r="G8" i="7"/>
  <c r="H8" i="7"/>
  <c r="E10" i="7"/>
  <c r="F10" i="7"/>
  <c r="G10" i="7"/>
  <c r="H10" i="7"/>
  <c r="E11" i="7"/>
  <c r="F11" i="7"/>
  <c r="G11" i="7"/>
  <c r="H11" i="7"/>
  <c r="E12" i="7"/>
  <c r="F12" i="7"/>
  <c r="G12" i="7"/>
  <c r="H12" i="7"/>
  <c r="E13" i="7"/>
  <c r="F13" i="7"/>
  <c r="G13" i="7"/>
  <c r="H13" i="7"/>
  <c r="U12" i="3"/>
  <c r="U11" i="3"/>
  <c r="U10" i="3"/>
  <c r="U9" i="3"/>
  <c r="U8" i="3"/>
  <c r="U7" i="3"/>
  <c r="U6" i="3"/>
  <c r="U5" i="3"/>
  <c r="U4" i="3"/>
  <c r="U13" i="3"/>
  <c r="U14" i="3"/>
  <c r="U15" i="3"/>
  <c r="U16" i="3"/>
  <c r="U17" i="3"/>
  <c r="A5" i="11"/>
  <c r="B5" i="11"/>
  <c r="C5" i="11"/>
  <c r="D5" i="11"/>
  <c r="E5" i="11"/>
  <c r="F5" i="11"/>
  <c r="G5" i="11"/>
  <c r="H5" i="11"/>
  <c r="A6" i="11"/>
  <c r="B6" i="11"/>
  <c r="C6" i="11"/>
  <c r="D6" i="11"/>
  <c r="E6" i="11"/>
  <c r="F6" i="11"/>
  <c r="G6" i="11"/>
  <c r="H6" i="11"/>
  <c r="A7" i="11"/>
  <c r="B7" i="11"/>
  <c r="C7" i="11"/>
  <c r="D7" i="11"/>
  <c r="E7" i="11"/>
  <c r="F7" i="11"/>
  <c r="G7" i="11"/>
  <c r="H7" i="11"/>
  <c r="A8" i="11"/>
  <c r="B8" i="11"/>
  <c r="C8" i="11"/>
  <c r="D8" i="11"/>
  <c r="E8" i="11"/>
  <c r="F8" i="11"/>
  <c r="G8" i="11"/>
  <c r="H8" i="11"/>
  <c r="A10" i="11"/>
  <c r="B10" i="11"/>
  <c r="C10" i="11"/>
  <c r="D10" i="11"/>
  <c r="E10" i="11"/>
  <c r="F10" i="11"/>
  <c r="G10" i="11"/>
  <c r="H10" i="11"/>
  <c r="A11" i="11"/>
  <c r="B11" i="11"/>
  <c r="C11" i="11"/>
  <c r="D11" i="11"/>
  <c r="E11" i="11"/>
  <c r="F11" i="11"/>
  <c r="G11" i="11"/>
  <c r="H11" i="11"/>
  <c r="A12" i="11"/>
  <c r="B12" i="11"/>
  <c r="C12" i="11"/>
  <c r="D12" i="11"/>
  <c r="E12" i="11"/>
  <c r="F12" i="11"/>
  <c r="G12" i="11"/>
  <c r="H12" i="11"/>
  <c r="A13" i="11"/>
  <c r="B13" i="11"/>
  <c r="C13" i="11"/>
  <c r="D13" i="11"/>
  <c r="E13" i="11"/>
  <c r="F13" i="11"/>
  <c r="G13" i="11"/>
  <c r="H13" i="11"/>
  <c r="E5" i="10"/>
  <c r="F5" i="10"/>
  <c r="G5" i="10"/>
  <c r="H5" i="10"/>
  <c r="A5" i="10"/>
  <c r="B5" i="10"/>
  <c r="C5" i="10"/>
  <c r="D5" i="10"/>
  <c r="E6" i="10"/>
  <c r="F6" i="10"/>
  <c r="G6" i="10"/>
  <c r="H6" i="10"/>
  <c r="A6" i="10"/>
  <c r="B6" i="10"/>
  <c r="C6" i="10"/>
  <c r="D6" i="10"/>
  <c r="E7" i="10"/>
  <c r="F7" i="10"/>
  <c r="G7" i="10"/>
  <c r="H7" i="10"/>
  <c r="A7" i="10"/>
  <c r="B7" i="10"/>
  <c r="C7" i="10"/>
  <c r="D7" i="10"/>
  <c r="E8" i="10"/>
  <c r="F8" i="10"/>
  <c r="G8" i="10"/>
  <c r="H8" i="10"/>
  <c r="A8" i="10"/>
  <c r="B8" i="10"/>
  <c r="C8" i="10"/>
  <c r="D8" i="10"/>
  <c r="E10" i="10"/>
  <c r="F10" i="10"/>
  <c r="G10" i="10"/>
  <c r="H10" i="10"/>
  <c r="A10" i="10"/>
  <c r="B10" i="10"/>
  <c r="C10" i="10"/>
  <c r="D10" i="10"/>
  <c r="E11" i="10"/>
  <c r="F11" i="10"/>
  <c r="G11" i="10"/>
  <c r="H11" i="10"/>
  <c r="A11" i="10"/>
  <c r="B11" i="10"/>
  <c r="C11" i="10"/>
  <c r="D11" i="10"/>
  <c r="E12" i="10"/>
  <c r="F12" i="10"/>
  <c r="G12" i="10"/>
  <c r="H12" i="10"/>
  <c r="A12" i="10"/>
  <c r="B12" i="10"/>
  <c r="C12" i="10"/>
  <c r="D12" i="10"/>
  <c r="E13" i="10"/>
  <c r="F13" i="10"/>
  <c r="G13" i="10"/>
  <c r="H13" i="10"/>
  <c r="A13" i="10"/>
  <c r="B13" i="10"/>
  <c r="C13" i="10"/>
  <c r="D13" i="10"/>
  <c r="E5" i="9"/>
  <c r="F5" i="9"/>
  <c r="G5" i="9"/>
  <c r="H5" i="9"/>
  <c r="A5" i="9"/>
  <c r="B5" i="9"/>
  <c r="C5" i="9"/>
  <c r="D5" i="9"/>
  <c r="E6" i="9"/>
  <c r="F6" i="9"/>
  <c r="G6" i="9"/>
  <c r="H6" i="9"/>
  <c r="A6" i="9"/>
  <c r="B6" i="9"/>
  <c r="C6" i="9"/>
  <c r="D6" i="9"/>
  <c r="E7" i="9"/>
  <c r="F7" i="9"/>
  <c r="G7" i="9"/>
  <c r="H7" i="9"/>
  <c r="A7" i="9"/>
  <c r="B7" i="9"/>
  <c r="C7" i="9"/>
  <c r="D7" i="9"/>
  <c r="E8" i="9"/>
  <c r="F8" i="9"/>
  <c r="G8" i="9"/>
  <c r="H8" i="9"/>
  <c r="A8" i="9"/>
  <c r="B8" i="9"/>
  <c r="C8" i="9"/>
  <c r="D8" i="9"/>
  <c r="E10" i="9"/>
  <c r="F10" i="9"/>
  <c r="G10" i="9"/>
  <c r="H10" i="9"/>
  <c r="A10" i="9"/>
  <c r="B10" i="9"/>
  <c r="C10" i="9"/>
  <c r="D10" i="9"/>
  <c r="E11" i="9"/>
  <c r="F11" i="9"/>
  <c r="G11" i="9"/>
  <c r="H11" i="9"/>
  <c r="A11" i="9"/>
  <c r="B11" i="9"/>
  <c r="C11" i="9"/>
  <c r="D11" i="9"/>
  <c r="E12" i="9"/>
  <c r="F12" i="9"/>
  <c r="G12" i="9"/>
  <c r="H12" i="9"/>
  <c r="A12" i="9"/>
  <c r="B12" i="9"/>
  <c r="C12" i="9"/>
  <c r="D12" i="9"/>
  <c r="E13" i="9"/>
  <c r="F13" i="9"/>
  <c r="G13" i="9"/>
  <c r="H13" i="9"/>
  <c r="A13" i="9"/>
  <c r="B13" i="9"/>
  <c r="C13" i="9"/>
  <c r="D13" i="9"/>
  <c r="E5" i="8"/>
  <c r="F5" i="8"/>
  <c r="G5" i="8"/>
  <c r="H5" i="8"/>
  <c r="E6" i="8"/>
  <c r="F6" i="8"/>
  <c r="G6" i="8"/>
  <c r="H6" i="8"/>
  <c r="E7" i="8"/>
  <c r="F7" i="8"/>
  <c r="G7" i="8"/>
  <c r="H7" i="8"/>
  <c r="E8" i="8"/>
  <c r="F8" i="8"/>
  <c r="G8" i="8"/>
  <c r="H8" i="8"/>
  <c r="E10" i="8"/>
  <c r="F10" i="8"/>
  <c r="G10" i="8"/>
  <c r="H10" i="8"/>
  <c r="E11" i="8"/>
  <c r="F11" i="8"/>
  <c r="G11" i="8"/>
  <c r="H11" i="8"/>
  <c r="E12" i="8"/>
  <c r="F12" i="8"/>
  <c r="G12" i="8"/>
  <c r="H12" i="8"/>
  <c r="E13" i="8"/>
  <c r="F13" i="8"/>
  <c r="G13" i="8"/>
  <c r="H13" i="8"/>
  <c r="A5" i="7"/>
  <c r="B5" i="7"/>
  <c r="C5" i="7"/>
  <c r="D5" i="7"/>
  <c r="A6" i="7"/>
  <c r="B6" i="7"/>
  <c r="C6" i="7"/>
  <c r="D6" i="7"/>
  <c r="A7" i="7"/>
  <c r="B7" i="7"/>
  <c r="C7" i="7"/>
  <c r="D7" i="7"/>
  <c r="A8" i="7"/>
  <c r="B8" i="7"/>
  <c r="C8" i="7"/>
  <c r="D8" i="7"/>
  <c r="A10" i="7"/>
  <c r="B10" i="7"/>
  <c r="C10" i="7"/>
  <c r="D10" i="7"/>
  <c r="A11" i="7"/>
  <c r="B11" i="7"/>
  <c r="C11" i="7"/>
  <c r="D11" i="7"/>
  <c r="A12" i="7"/>
  <c r="B12" i="7"/>
  <c r="C12" i="7"/>
  <c r="D12" i="7"/>
  <c r="A13" i="7"/>
  <c r="B13" i="7"/>
  <c r="C13" i="7"/>
  <c r="D13" i="7"/>
  <c r="A5" i="6"/>
  <c r="B5" i="6"/>
  <c r="C5" i="6"/>
  <c r="D5" i="6"/>
  <c r="A6" i="6"/>
  <c r="B6" i="6"/>
  <c r="C6" i="6"/>
  <c r="D6" i="6"/>
  <c r="A7" i="6"/>
  <c r="B7" i="6"/>
  <c r="C7" i="6"/>
  <c r="D7" i="6"/>
  <c r="A8" i="6"/>
  <c r="B8" i="6"/>
  <c r="C8" i="6"/>
  <c r="D8" i="6"/>
  <c r="A10" i="6"/>
  <c r="B10" i="6"/>
  <c r="C10" i="6"/>
  <c r="D10" i="6"/>
  <c r="A11" i="6"/>
  <c r="B11" i="6"/>
  <c r="C11" i="6"/>
  <c r="D11" i="6"/>
  <c r="A12" i="6"/>
  <c r="B12" i="6"/>
  <c r="C12" i="6"/>
  <c r="D12" i="6"/>
  <c r="A13" i="6"/>
  <c r="B13" i="6"/>
  <c r="C13" i="6"/>
  <c r="D13" i="6"/>
  <c r="F5" i="5"/>
  <c r="G5" i="5"/>
  <c r="H5" i="5"/>
  <c r="A5" i="5"/>
  <c r="B5" i="5"/>
  <c r="C5" i="5"/>
  <c r="D5" i="5"/>
  <c r="F6" i="5"/>
  <c r="G6" i="5"/>
  <c r="H6" i="5"/>
  <c r="A6" i="5"/>
  <c r="B6" i="5"/>
  <c r="C6" i="5"/>
  <c r="D6" i="5"/>
  <c r="F7" i="5"/>
  <c r="G7" i="5"/>
  <c r="H7" i="5"/>
  <c r="A7" i="5"/>
  <c r="B7" i="5"/>
  <c r="C7" i="5"/>
  <c r="D7" i="5"/>
  <c r="F8" i="5"/>
  <c r="G8" i="5"/>
  <c r="H8" i="5"/>
  <c r="A8" i="5"/>
  <c r="B8" i="5"/>
  <c r="C8" i="5"/>
  <c r="D8" i="5"/>
  <c r="F10" i="5"/>
  <c r="G10" i="5"/>
  <c r="H10" i="5"/>
  <c r="A10" i="5"/>
  <c r="B10" i="5"/>
  <c r="C10" i="5"/>
  <c r="D10" i="5"/>
  <c r="F11" i="5"/>
  <c r="G11" i="5"/>
  <c r="H11" i="5"/>
  <c r="A11" i="5"/>
  <c r="B11" i="5"/>
  <c r="C11" i="5"/>
  <c r="D11" i="5"/>
  <c r="F12" i="5"/>
  <c r="G12" i="5"/>
  <c r="H12" i="5"/>
  <c r="A12" i="5"/>
  <c r="B12" i="5"/>
  <c r="C12" i="5"/>
  <c r="D12" i="5"/>
  <c r="F13" i="5"/>
  <c r="G13" i="5"/>
  <c r="H13" i="5"/>
  <c r="A13" i="5"/>
  <c r="B13" i="5"/>
  <c r="C13" i="5"/>
  <c r="D13" i="5"/>
  <c r="E6" i="5"/>
  <c r="E7" i="5"/>
  <c r="E8" i="5"/>
  <c r="E10" i="5"/>
  <c r="E11" i="5"/>
  <c r="E12" i="5"/>
  <c r="E13" i="5"/>
  <c r="F5" i="4"/>
  <c r="G5" i="4"/>
  <c r="H5" i="4"/>
  <c r="A5" i="4"/>
  <c r="B5" i="4"/>
  <c r="C5" i="4"/>
  <c r="D5" i="4"/>
  <c r="F6" i="4"/>
  <c r="G6" i="4"/>
  <c r="H6" i="4"/>
  <c r="A6" i="4"/>
  <c r="B6" i="4"/>
  <c r="C6" i="4"/>
  <c r="D6" i="4"/>
  <c r="F7" i="4"/>
  <c r="G7" i="4"/>
  <c r="H7" i="4"/>
  <c r="A7" i="4"/>
  <c r="B7" i="4"/>
  <c r="C7" i="4"/>
  <c r="D7" i="4"/>
  <c r="F8" i="4"/>
  <c r="G8" i="4"/>
  <c r="H8" i="4"/>
  <c r="A8" i="4"/>
  <c r="B8" i="4"/>
  <c r="C8" i="4"/>
  <c r="D8" i="4"/>
  <c r="F10" i="4"/>
  <c r="G10" i="4"/>
  <c r="H10" i="4"/>
  <c r="A10" i="4"/>
  <c r="B10" i="4"/>
  <c r="C10" i="4"/>
  <c r="D10" i="4"/>
  <c r="F11" i="4"/>
  <c r="G11" i="4"/>
  <c r="H11" i="4"/>
  <c r="A11" i="4"/>
  <c r="B11" i="4"/>
  <c r="C11" i="4"/>
  <c r="D11" i="4"/>
  <c r="F12" i="4"/>
  <c r="G12" i="4"/>
  <c r="H12" i="4"/>
  <c r="A12" i="4"/>
  <c r="B12" i="4"/>
  <c r="C12" i="4"/>
  <c r="D12" i="4"/>
  <c r="F13" i="4"/>
  <c r="G13" i="4"/>
  <c r="H13" i="4"/>
  <c r="A13" i="4"/>
  <c r="B13" i="4"/>
  <c r="C13" i="4"/>
  <c r="D13" i="4"/>
  <c r="E6" i="4"/>
  <c r="E7" i="4"/>
  <c r="E8" i="4"/>
  <c r="E10" i="4"/>
  <c r="E11" i="4"/>
  <c r="E12" i="4"/>
  <c r="E13" i="4"/>
  <c r="E5" i="5"/>
  <c r="E5" i="4"/>
  <c r="I35" i="2"/>
  <c r="G15" i="7" s="1"/>
  <c r="H35" i="2"/>
  <c r="F15" i="7" s="1"/>
  <c r="G35" i="2"/>
  <c r="E15" i="7" s="1"/>
  <c r="F35" i="2"/>
  <c r="H15" i="8" s="1"/>
  <c r="E35" i="2"/>
  <c r="G15" i="8" s="1"/>
  <c r="D35" i="2"/>
  <c r="F15" i="8" s="1"/>
  <c r="C35" i="2"/>
  <c r="E15" i="8" s="1"/>
  <c r="R53" i="2"/>
  <c r="D15" i="9" s="1"/>
  <c r="Q53" i="2"/>
  <c r="C15" i="9" s="1"/>
  <c r="P53" i="2"/>
  <c r="B15" i="9" s="1"/>
  <c r="O53" i="2"/>
  <c r="A15" i="9" s="1"/>
  <c r="N53" i="2"/>
  <c r="H15" i="9" s="1"/>
  <c r="M53" i="2"/>
  <c r="G15" i="9" s="1"/>
  <c r="L53" i="2"/>
  <c r="F15" i="9" s="1"/>
  <c r="K53" i="2"/>
  <c r="E15" i="9" s="1"/>
  <c r="J53" i="2"/>
  <c r="D15" i="10" s="1"/>
  <c r="I53" i="2"/>
  <c r="C15" i="10" s="1"/>
  <c r="H53" i="2"/>
  <c r="B15" i="10" s="1"/>
  <c r="G53" i="2"/>
  <c r="A15" i="10" s="1"/>
  <c r="F53" i="2"/>
  <c r="H15" i="10" s="1"/>
  <c r="E53" i="2"/>
  <c r="G15" i="10" s="1"/>
  <c r="D53" i="2"/>
  <c r="F15" i="10" s="1"/>
  <c r="C53" i="2"/>
  <c r="E15" i="10" s="1"/>
  <c r="AE53" i="2"/>
  <c r="H15" i="11" s="1"/>
  <c r="AD53" i="2"/>
  <c r="G15" i="11" s="1"/>
  <c r="AC53" i="2"/>
  <c r="F15" i="11" s="1"/>
  <c r="AB53" i="2"/>
  <c r="E15" i="11" s="1"/>
  <c r="AA53" i="2"/>
  <c r="D15" i="11" s="1"/>
  <c r="Z53" i="2"/>
  <c r="C15" i="11" s="1"/>
  <c r="Y53" i="2"/>
  <c r="B15" i="11" s="1"/>
  <c r="J35" i="2"/>
  <c r="H15" i="7" s="1"/>
  <c r="U17" i="2"/>
  <c r="C15" i="4" s="1"/>
  <c r="T17" i="2"/>
  <c r="B15" i="4" s="1"/>
  <c r="S17" i="2"/>
  <c r="A15" i="4" s="1"/>
  <c r="R17" i="2"/>
  <c r="H15" i="4" s="1"/>
  <c r="Q17" i="2"/>
  <c r="G15" i="4" s="1"/>
  <c r="P17" i="2"/>
  <c r="F15" i="4" s="1"/>
  <c r="O17" i="2"/>
  <c r="E15" i="4" s="1"/>
  <c r="N17" i="2"/>
  <c r="D15" i="5" s="1"/>
  <c r="M17" i="2"/>
  <c r="C15" i="5" s="1"/>
  <c r="L17" i="2"/>
  <c r="B15" i="5" s="1"/>
  <c r="K17" i="2"/>
  <c r="A15" i="5" s="1"/>
  <c r="J17" i="2"/>
  <c r="H15" i="5" s="1"/>
  <c r="I17" i="2"/>
  <c r="G15" i="5" s="1"/>
  <c r="H17" i="2"/>
  <c r="F15" i="5" s="1"/>
  <c r="G17" i="2"/>
  <c r="E15" i="5" s="1"/>
  <c r="F17" i="2"/>
  <c r="D15" i="8" s="1"/>
  <c r="E17" i="2"/>
  <c r="C15" i="8" s="1"/>
  <c r="D17" i="2"/>
  <c r="B15" i="8" s="1"/>
  <c r="C17" i="2"/>
  <c r="A15" i="8" s="1"/>
  <c r="V35" i="2"/>
  <c r="D15" i="6" s="1"/>
  <c r="U35" i="2"/>
  <c r="C15" i="6" s="1"/>
  <c r="T35" i="2"/>
  <c r="B15" i="6" s="1"/>
  <c r="S35" i="2"/>
  <c r="A15" i="6" s="1"/>
  <c r="R35" i="2"/>
  <c r="H15" i="6" s="1"/>
  <c r="Q35" i="2"/>
  <c r="G15" i="6" s="1"/>
  <c r="P35" i="2"/>
  <c r="F15" i="6" s="1"/>
  <c r="O35" i="2"/>
  <c r="E15" i="6" s="1"/>
  <c r="N35" i="2"/>
  <c r="D15" i="7" s="1"/>
  <c r="M35" i="2"/>
  <c r="C15" i="7" s="1"/>
  <c r="L35" i="2"/>
  <c r="B15" i="7" s="1"/>
  <c r="K35" i="2"/>
  <c r="A15" i="7" s="1"/>
  <c r="V17" i="2"/>
  <c r="D15" i="4" s="1"/>
  <c r="AB3" i="12"/>
  <c r="AA35" i="12"/>
  <c r="AA3" i="12"/>
  <c r="S29" i="2"/>
  <c r="A9" i="6" s="1"/>
  <c r="AA36" i="12"/>
  <c r="AA37" i="12"/>
  <c r="AA38" i="12"/>
  <c r="AA39" i="12"/>
  <c r="AA40" i="12"/>
  <c r="AA41" i="12"/>
  <c r="AA42" i="12"/>
  <c r="AA43" i="12"/>
  <c r="AA44" i="12"/>
  <c r="AA45" i="12"/>
  <c r="AA46" i="12"/>
  <c r="AA47" i="12"/>
  <c r="AA48" i="12"/>
  <c r="AA49" i="12"/>
  <c r="AA50" i="12"/>
  <c r="AA51" i="12"/>
  <c r="AA52" i="12"/>
  <c r="AA53" i="12"/>
  <c r="AA54" i="12"/>
  <c r="AA55" i="12"/>
  <c r="AA56" i="12"/>
  <c r="AA57" i="12"/>
  <c r="AA58" i="12"/>
  <c r="AA59" i="12"/>
  <c r="AA60" i="12"/>
  <c r="AA61" i="12"/>
  <c r="AA62" i="12"/>
  <c r="AA63" i="12"/>
  <c r="AA64" i="12"/>
  <c r="AA65" i="12"/>
  <c r="AA66" i="12"/>
  <c r="AA4" i="12"/>
  <c r="AA5" i="12"/>
  <c r="AA6" i="12"/>
  <c r="AA7" i="12"/>
  <c r="AA8" i="12"/>
  <c r="AA9" i="12"/>
  <c r="AA10" i="12"/>
  <c r="AA11" i="12"/>
  <c r="AA12" i="12"/>
  <c r="AA13" i="12"/>
  <c r="AA14" i="12"/>
  <c r="AA15" i="12"/>
  <c r="AA16" i="12"/>
  <c r="AA17" i="12"/>
  <c r="AA18" i="12"/>
  <c r="AA19" i="12"/>
  <c r="AA20" i="12"/>
  <c r="AA21" i="12"/>
  <c r="AA22" i="12"/>
  <c r="AA23" i="12"/>
  <c r="AA24" i="12"/>
  <c r="AA25" i="12"/>
  <c r="AA26" i="12"/>
  <c r="AA27" i="12"/>
  <c r="AA28" i="12"/>
  <c r="AA29" i="12"/>
  <c r="AA30" i="12"/>
  <c r="AA31" i="12"/>
  <c r="AA32" i="12"/>
  <c r="AA33" i="12"/>
  <c r="AA34" i="12"/>
  <c r="AC35" i="12"/>
  <c r="AC36" i="12"/>
  <c r="AC37" i="12"/>
  <c r="AC38" i="12"/>
  <c r="AC39" i="12"/>
  <c r="AC40" i="12"/>
  <c r="AC41" i="12"/>
  <c r="AC42" i="12"/>
  <c r="AC43" i="12"/>
  <c r="AC44" i="12"/>
  <c r="AC45" i="12"/>
  <c r="AC46" i="12"/>
  <c r="AC47" i="12"/>
  <c r="AC48" i="12"/>
  <c r="AC49" i="12"/>
  <c r="AC50" i="12"/>
  <c r="AC51" i="12"/>
  <c r="AC52" i="12"/>
  <c r="AC53" i="12"/>
  <c r="AC54" i="12"/>
  <c r="AC55" i="12"/>
  <c r="AC56" i="12"/>
  <c r="AC57" i="12"/>
  <c r="AC58" i="12"/>
  <c r="AC59" i="12"/>
  <c r="AC60" i="12"/>
  <c r="AC61" i="12"/>
  <c r="AC62" i="12"/>
  <c r="AC63" i="12"/>
  <c r="AC64" i="12"/>
  <c r="AC65" i="12"/>
  <c r="AC66" i="12"/>
  <c r="AC4" i="12"/>
  <c r="AC5" i="12"/>
  <c r="AC6" i="12"/>
  <c r="AC7" i="12"/>
  <c r="AC8" i="12"/>
  <c r="AC9" i="12"/>
  <c r="AC10" i="12"/>
  <c r="AC11" i="12"/>
  <c r="AC12" i="12"/>
  <c r="AC13" i="12"/>
  <c r="AC14" i="12"/>
  <c r="AC15" i="12"/>
  <c r="AC16" i="12"/>
  <c r="AC17" i="12"/>
  <c r="AC18" i="12"/>
  <c r="AC19" i="12"/>
  <c r="AC20" i="12"/>
  <c r="AC21" i="12"/>
  <c r="AC22" i="12"/>
  <c r="AC23" i="12"/>
  <c r="AC24" i="12"/>
  <c r="AC25" i="12"/>
  <c r="AC26" i="12"/>
  <c r="AC27" i="12"/>
  <c r="AC28" i="12"/>
  <c r="AC29" i="12"/>
  <c r="AC30" i="12"/>
  <c r="AC31" i="12"/>
  <c r="AC32" i="12"/>
  <c r="AC33" i="12"/>
  <c r="AC34" i="12"/>
  <c r="AC3" i="12"/>
  <c r="AB36" i="12"/>
  <c r="AB37" i="12"/>
  <c r="AB38" i="12"/>
  <c r="AB39" i="12"/>
  <c r="AB40" i="12"/>
  <c r="AB41" i="12"/>
  <c r="AB42" i="12"/>
  <c r="AB43" i="12"/>
  <c r="AB44" i="12"/>
  <c r="AB45" i="12"/>
  <c r="AB46" i="12"/>
  <c r="AB47" i="12"/>
  <c r="AB48" i="12"/>
  <c r="AB49" i="12"/>
  <c r="AB50" i="12"/>
  <c r="AB51" i="12"/>
  <c r="AB52" i="12"/>
  <c r="AB53" i="12"/>
  <c r="AB54" i="12"/>
  <c r="AB55" i="12"/>
  <c r="AB56" i="12"/>
  <c r="AB57" i="12"/>
  <c r="AB58" i="12"/>
  <c r="AB59" i="12"/>
  <c r="AB60" i="12"/>
  <c r="AB61" i="12"/>
  <c r="AB62" i="12"/>
  <c r="AB63" i="12"/>
  <c r="AB64" i="12"/>
  <c r="AB65" i="12"/>
  <c r="AB66" i="12"/>
  <c r="AB35" i="12"/>
  <c r="AB4" i="12"/>
  <c r="AB5" i="12"/>
  <c r="AB6" i="12"/>
  <c r="AB7" i="12"/>
  <c r="AB8" i="12"/>
  <c r="AB9" i="12"/>
  <c r="AB10" i="12"/>
  <c r="AB11" i="12"/>
  <c r="AB12" i="12"/>
  <c r="AB13" i="12"/>
  <c r="AB14" i="12"/>
  <c r="AB15" i="12"/>
  <c r="AB16" i="12"/>
  <c r="AB17" i="12"/>
  <c r="AB18" i="12"/>
  <c r="AB19" i="12"/>
  <c r="AB20" i="12"/>
  <c r="AB21" i="12"/>
  <c r="AB22" i="12"/>
  <c r="AB23" i="12"/>
  <c r="AB24" i="12"/>
  <c r="AB25" i="12"/>
  <c r="AB26" i="12"/>
  <c r="AB27" i="12"/>
  <c r="AB28" i="12"/>
  <c r="AB29" i="12"/>
  <c r="AB30" i="12"/>
  <c r="AB31" i="12"/>
  <c r="AB32" i="12"/>
  <c r="AB33" i="12"/>
  <c r="AB34" i="12"/>
  <c r="G18" i="2"/>
  <c r="E16" i="5" s="1"/>
  <c r="Y52" i="2"/>
  <c r="B14" i="11" s="1"/>
  <c r="I34" i="2"/>
  <c r="G14" i="7" s="1"/>
  <c r="H34" i="2"/>
  <c r="F14" i="7" s="1"/>
  <c r="G34" i="2"/>
  <c r="E14" i="7" s="1"/>
  <c r="F34" i="2"/>
  <c r="H14" i="8" s="1"/>
  <c r="E34" i="2"/>
  <c r="G14" i="8" s="1"/>
  <c r="D34" i="2"/>
  <c r="F14" i="8" s="1"/>
  <c r="C34" i="2"/>
  <c r="E14" i="8" s="1"/>
  <c r="R52" i="2"/>
  <c r="D14" i="9" s="1"/>
  <c r="Q52" i="2"/>
  <c r="C14" i="9" s="1"/>
  <c r="P52" i="2"/>
  <c r="B14" i="9" s="1"/>
  <c r="O52" i="2"/>
  <c r="A14" i="9" s="1"/>
  <c r="N52" i="2"/>
  <c r="H14" i="9" s="1"/>
  <c r="M52" i="2"/>
  <c r="G14" i="9" s="1"/>
  <c r="L52" i="2"/>
  <c r="F14" i="9" s="1"/>
  <c r="K52" i="2"/>
  <c r="E14" i="9" s="1"/>
  <c r="J52" i="2"/>
  <c r="D14" i="10" s="1"/>
  <c r="I52" i="2"/>
  <c r="C14" i="10" s="1"/>
  <c r="H52" i="2"/>
  <c r="B14" i="10" s="1"/>
  <c r="G52" i="2"/>
  <c r="A14" i="10" s="1"/>
  <c r="F52" i="2"/>
  <c r="H14" i="10" s="1"/>
  <c r="E52" i="2"/>
  <c r="G14" i="10" s="1"/>
  <c r="D52" i="2"/>
  <c r="F14" i="10" s="1"/>
  <c r="C52" i="2"/>
  <c r="E14" i="10" s="1"/>
  <c r="AE52" i="2"/>
  <c r="H14" i="11" s="1"/>
  <c r="AD52" i="2"/>
  <c r="G14" i="11" s="1"/>
  <c r="AC52" i="2"/>
  <c r="F14" i="11" s="1"/>
  <c r="AB52" i="2"/>
  <c r="E14" i="11" s="1"/>
  <c r="AA52" i="2"/>
  <c r="D14" i="11" s="1"/>
  <c r="Z52" i="2"/>
  <c r="C14" i="11" s="1"/>
  <c r="J34" i="2"/>
  <c r="H14" i="7" s="1"/>
  <c r="U16" i="2"/>
  <c r="C14" i="4" s="1"/>
  <c r="T16" i="2"/>
  <c r="B14" i="4" s="1"/>
  <c r="S16" i="2"/>
  <c r="A14" i="4" s="1"/>
  <c r="R16" i="2"/>
  <c r="H14" i="4" s="1"/>
  <c r="Q16" i="2"/>
  <c r="G14" i="4" s="1"/>
  <c r="P16" i="2"/>
  <c r="F14" i="4" s="1"/>
  <c r="O16" i="2"/>
  <c r="E14" i="4" s="1"/>
  <c r="N16" i="2"/>
  <c r="D14" i="5" s="1"/>
  <c r="M16" i="2"/>
  <c r="C14" i="5" s="1"/>
  <c r="L16" i="2"/>
  <c r="B14" i="5" s="1"/>
  <c r="K16" i="2"/>
  <c r="A14" i="5" s="1"/>
  <c r="J16" i="2"/>
  <c r="H14" i="5" s="1"/>
  <c r="I16" i="2"/>
  <c r="G14" i="5" s="1"/>
  <c r="H16" i="2"/>
  <c r="F14" i="5" s="1"/>
  <c r="G16" i="2"/>
  <c r="E14" i="5" s="1"/>
  <c r="F16" i="2"/>
  <c r="D14" i="8" s="1"/>
  <c r="E16" i="2"/>
  <c r="C14" i="8" s="1"/>
  <c r="D16" i="2"/>
  <c r="B14" i="8" s="1"/>
  <c r="C16" i="2"/>
  <c r="A14" i="8" s="1"/>
  <c r="V34" i="2"/>
  <c r="D14" i="6" s="1"/>
  <c r="U34" i="2"/>
  <c r="C14" i="6" s="1"/>
  <c r="T34" i="2"/>
  <c r="B14" i="6" s="1"/>
  <c r="S34" i="2"/>
  <c r="A14" i="6" s="1"/>
  <c r="R34" i="2"/>
  <c r="H14" i="6" s="1"/>
  <c r="Q34" i="2"/>
  <c r="P34" i="2"/>
  <c r="F14" i="6" s="1"/>
  <c r="O34" i="2"/>
  <c r="E14" i="6" s="1"/>
  <c r="N34" i="2"/>
  <c r="D14" i="7" s="1"/>
  <c r="M34" i="2"/>
  <c r="C14" i="7" s="1"/>
  <c r="L34" i="2"/>
  <c r="B14" i="7" s="1"/>
  <c r="K34" i="2"/>
  <c r="A14" i="7" s="1"/>
  <c r="V16" i="2"/>
  <c r="D14" i="4" s="1"/>
  <c r="Y54" i="2"/>
  <c r="B16" i="11" s="1"/>
  <c r="Z54" i="2"/>
  <c r="C16" i="11" s="1"/>
  <c r="AA54" i="2"/>
  <c r="D16" i="11" s="1"/>
  <c r="AB54" i="2"/>
  <c r="E16" i="11" s="1"/>
  <c r="AC54" i="2"/>
  <c r="F16" i="11" s="1"/>
  <c r="AD54" i="2"/>
  <c r="G16" i="11" s="1"/>
  <c r="AE54" i="2"/>
  <c r="H16" i="11" s="1"/>
  <c r="C54" i="2"/>
  <c r="E16" i="10" s="1"/>
  <c r="D54" i="2"/>
  <c r="F16" i="10" s="1"/>
  <c r="E54" i="2"/>
  <c r="G16" i="10" s="1"/>
  <c r="F54" i="2"/>
  <c r="H16" i="10" s="1"/>
  <c r="G54" i="2"/>
  <c r="A16" i="10" s="1"/>
  <c r="H54" i="2"/>
  <c r="B16" i="10" s="1"/>
  <c r="I54" i="2"/>
  <c r="C16" i="10" s="1"/>
  <c r="J54" i="2"/>
  <c r="D16" i="10" s="1"/>
  <c r="K54" i="2"/>
  <c r="E16" i="9" s="1"/>
  <c r="L54" i="2"/>
  <c r="F16" i="9" s="1"/>
  <c r="M54" i="2"/>
  <c r="G16" i="9" s="1"/>
  <c r="N54" i="2"/>
  <c r="H16" i="9" s="1"/>
  <c r="O54" i="2"/>
  <c r="A16" i="9" s="1"/>
  <c r="P54" i="2"/>
  <c r="B16" i="9" s="1"/>
  <c r="Q54" i="2"/>
  <c r="C16" i="9" s="1"/>
  <c r="R54" i="2"/>
  <c r="D16" i="9" s="1"/>
  <c r="C36" i="2"/>
  <c r="E16" i="8" s="1"/>
  <c r="D36" i="2"/>
  <c r="F16" i="8" s="1"/>
  <c r="E36" i="2"/>
  <c r="G16" i="8" s="1"/>
  <c r="F36" i="2"/>
  <c r="H16" i="8" s="1"/>
  <c r="G36" i="2"/>
  <c r="E16" i="7" s="1"/>
  <c r="H36" i="2"/>
  <c r="F16" i="7" s="1"/>
  <c r="I36" i="2"/>
  <c r="G16" i="7" s="1"/>
  <c r="J36" i="2"/>
  <c r="H16" i="7" s="1"/>
  <c r="X41" i="2" l="1"/>
  <c r="X40" i="2"/>
  <c r="AD66" i="12"/>
  <c r="AA47" i="2"/>
  <c r="D9" i="11" s="1"/>
  <c r="J29" i="2" l="1"/>
  <c r="H9" i="7" s="1"/>
  <c r="I29" i="2"/>
  <c r="G9" i="7" s="1"/>
  <c r="H29" i="2"/>
  <c r="F9" i="7" s="1"/>
  <c r="G29" i="2"/>
  <c r="E9" i="7" s="1"/>
  <c r="F29" i="2"/>
  <c r="H9" i="8" s="1"/>
  <c r="E29" i="2"/>
  <c r="G9" i="8" s="1"/>
  <c r="D29" i="2"/>
  <c r="F9" i="8" s="1"/>
  <c r="C29" i="2"/>
  <c r="E9" i="8" s="1"/>
  <c r="R47" i="2"/>
  <c r="D9" i="9" s="1"/>
  <c r="Q47" i="2"/>
  <c r="C9" i="9" s="1"/>
  <c r="P47" i="2"/>
  <c r="B9" i="9" s="1"/>
  <c r="O47" i="2"/>
  <c r="A9" i="9" s="1"/>
  <c r="N47" i="2"/>
  <c r="H9" i="9" s="1"/>
  <c r="M47" i="2"/>
  <c r="G9" i="9" s="1"/>
  <c r="L47" i="2"/>
  <c r="F9" i="9" s="1"/>
  <c r="K47" i="2"/>
  <c r="E9" i="9" s="1"/>
  <c r="J47" i="2"/>
  <c r="D9" i="10" s="1"/>
  <c r="I47" i="2"/>
  <c r="C9" i="10" s="1"/>
  <c r="H47" i="2"/>
  <c r="B9" i="10" s="1"/>
  <c r="G47" i="2"/>
  <c r="A9" i="10" s="1"/>
  <c r="F47" i="2"/>
  <c r="H9" i="10" s="1"/>
  <c r="E47" i="2"/>
  <c r="G9" i="10" s="1"/>
  <c r="D47" i="2"/>
  <c r="F9" i="10" s="1"/>
  <c r="C47" i="2"/>
  <c r="E9" i="10" s="1"/>
  <c r="AE47" i="2"/>
  <c r="H9" i="11" s="1"/>
  <c r="AD47" i="2"/>
  <c r="G9" i="11" s="1"/>
  <c r="AC47" i="2"/>
  <c r="F9" i="11" s="1"/>
  <c r="AB47" i="2"/>
  <c r="E9" i="11" s="1"/>
  <c r="Z47" i="2"/>
  <c r="C9" i="11" s="1"/>
  <c r="Y47" i="2"/>
  <c r="B9" i="11" s="1"/>
  <c r="A9" i="11"/>
  <c r="J24" i="2"/>
  <c r="H4" i="7" s="1"/>
  <c r="I24" i="2"/>
  <c r="G4" i="7" s="1"/>
  <c r="H24" i="2"/>
  <c r="F4" i="7" s="1"/>
  <c r="G24" i="2"/>
  <c r="E4" i="7" s="1"/>
  <c r="F24" i="2"/>
  <c r="H4" i="8" s="1"/>
  <c r="E24" i="2"/>
  <c r="G4" i="8" s="1"/>
  <c r="D24" i="2"/>
  <c r="F4" i="8" s="1"/>
  <c r="C24" i="2"/>
  <c r="E4" i="8" s="1"/>
  <c r="R42" i="2"/>
  <c r="D4" i="9" s="1"/>
  <c r="Q42" i="2"/>
  <c r="C4" i="9" s="1"/>
  <c r="P42" i="2"/>
  <c r="B4" i="9" s="1"/>
  <c r="O42" i="2"/>
  <c r="A4" i="9" s="1"/>
  <c r="N42" i="2"/>
  <c r="H4" i="9" s="1"/>
  <c r="M42" i="2"/>
  <c r="G4" i="9" s="1"/>
  <c r="L42" i="2"/>
  <c r="F4" i="9" s="1"/>
  <c r="K42" i="2"/>
  <c r="E4" i="9" s="1"/>
  <c r="J42" i="2"/>
  <c r="D4" i="10" s="1"/>
  <c r="I42" i="2"/>
  <c r="C4" i="10" s="1"/>
  <c r="H42" i="2"/>
  <c r="B4" i="10" s="1"/>
  <c r="G42" i="2"/>
  <c r="A4" i="10" s="1"/>
  <c r="F42" i="2"/>
  <c r="H4" i="10" s="1"/>
  <c r="E42" i="2"/>
  <c r="G4" i="10" s="1"/>
  <c r="D42" i="2"/>
  <c r="F4" i="10" s="1"/>
  <c r="C42" i="2"/>
  <c r="E4" i="10" s="1"/>
  <c r="AE42" i="2"/>
  <c r="H4" i="11" s="1"/>
  <c r="AD42" i="2"/>
  <c r="G4" i="11" s="1"/>
  <c r="AC42" i="2"/>
  <c r="F4" i="11" s="1"/>
  <c r="AB42" i="2"/>
  <c r="E4" i="11" s="1"/>
  <c r="AA42" i="2"/>
  <c r="D4" i="11" s="1"/>
  <c r="Z42" i="2"/>
  <c r="C4" i="11" s="1"/>
  <c r="Y42" i="2"/>
  <c r="B4" i="11" s="1"/>
  <c r="A4" i="11"/>
  <c r="V6" i="2"/>
  <c r="D4" i="4" s="1"/>
  <c r="U6" i="2"/>
  <c r="C4" i="4" s="1"/>
  <c r="T6" i="2"/>
  <c r="B4" i="4" s="1"/>
  <c r="S6" i="2"/>
  <c r="A4" i="4" s="1"/>
  <c r="R6" i="2"/>
  <c r="H4" i="4" s="1"/>
  <c r="Q6" i="2"/>
  <c r="G4" i="4" s="1"/>
  <c r="P6" i="2"/>
  <c r="F4" i="4" s="1"/>
  <c r="O6" i="2"/>
  <c r="E4" i="4" s="1"/>
  <c r="N6" i="2"/>
  <c r="D4" i="5" s="1"/>
  <c r="M6" i="2"/>
  <c r="C4" i="5" s="1"/>
  <c r="L6" i="2"/>
  <c r="B4" i="5" s="1"/>
  <c r="K6" i="2"/>
  <c r="A4" i="5" s="1"/>
  <c r="J6" i="2"/>
  <c r="H4" i="5" s="1"/>
  <c r="I6" i="2"/>
  <c r="G4" i="5" s="1"/>
  <c r="H6" i="2"/>
  <c r="F4" i="5" s="1"/>
  <c r="G6" i="2"/>
  <c r="E4" i="5" s="1"/>
  <c r="F6" i="2"/>
  <c r="D4" i="8" s="1"/>
  <c r="E6" i="2"/>
  <c r="C4" i="8" s="1"/>
  <c r="D6" i="2"/>
  <c r="B4" i="8" s="1"/>
  <c r="C6" i="2"/>
  <c r="A4" i="8" s="1"/>
  <c r="V24" i="2"/>
  <c r="D4" i="6" s="1"/>
  <c r="U24" i="2"/>
  <c r="C4" i="6" s="1"/>
  <c r="T24" i="2"/>
  <c r="B4" i="6" s="1"/>
  <c r="S24" i="2"/>
  <c r="A4" i="6" s="1"/>
  <c r="R24" i="2"/>
  <c r="H4" i="6" s="1"/>
  <c r="Q24" i="2"/>
  <c r="G4" i="6" s="1"/>
  <c r="P24" i="2"/>
  <c r="F4" i="6" s="1"/>
  <c r="O24" i="2"/>
  <c r="E4" i="6" s="1"/>
  <c r="N24" i="2"/>
  <c r="D4" i="7" s="1"/>
  <c r="M24" i="2"/>
  <c r="C4" i="7" s="1"/>
  <c r="L24" i="2"/>
  <c r="B4" i="7" s="1"/>
  <c r="K24" i="2"/>
  <c r="A4" i="7" s="1"/>
  <c r="K29" i="2"/>
  <c r="A9" i="7" s="1"/>
  <c r="L29" i="2"/>
  <c r="B9" i="7" s="1"/>
  <c r="M29" i="2"/>
  <c r="C9" i="7" s="1"/>
  <c r="N29" i="2"/>
  <c r="D9" i="7" s="1"/>
  <c r="O29" i="2"/>
  <c r="E9" i="6" s="1"/>
  <c r="P29" i="2"/>
  <c r="F9" i="6" s="1"/>
  <c r="Q29" i="2"/>
  <c r="G9" i="6" s="1"/>
  <c r="R29" i="2"/>
  <c r="H9" i="6" s="1"/>
  <c r="T29" i="2"/>
  <c r="B9" i="6" s="1"/>
  <c r="U29" i="2"/>
  <c r="C9" i="6" s="1"/>
  <c r="V29" i="2"/>
  <c r="D9" i="6" s="1"/>
  <c r="C11" i="2"/>
  <c r="A9" i="8" s="1"/>
  <c r="D11" i="2"/>
  <c r="B9" i="8" s="1"/>
  <c r="E11" i="2"/>
  <c r="C9" i="8" s="1"/>
  <c r="F11" i="2"/>
  <c r="D9" i="8" s="1"/>
  <c r="G11" i="2"/>
  <c r="E9" i="5" s="1"/>
  <c r="H11" i="2"/>
  <c r="F9" i="5" s="1"/>
  <c r="I11" i="2"/>
  <c r="G9" i="5" s="1"/>
  <c r="J11" i="2"/>
  <c r="H9" i="5" s="1"/>
  <c r="K11" i="2"/>
  <c r="A9" i="5" s="1"/>
  <c r="L11" i="2"/>
  <c r="B9" i="5" s="1"/>
  <c r="M11" i="2"/>
  <c r="C9" i="5" s="1"/>
  <c r="N11" i="2"/>
  <c r="D9" i="5" s="1"/>
  <c r="O11" i="2"/>
  <c r="E9" i="4" s="1"/>
  <c r="P11" i="2"/>
  <c r="F9" i="4" s="1"/>
  <c r="Q11" i="2"/>
  <c r="G9" i="4" s="1"/>
  <c r="R11" i="2"/>
  <c r="H9" i="4" s="1"/>
  <c r="S11" i="2"/>
  <c r="A9" i="4" s="1"/>
  <c r="T11" i="2"/>
  <c r="B9" i="4" s="1"/>
  <c r="U11" i="2"/>
  <c r="C9" i="4" s="1"/>
  <c r="V11" i="2"/>
  <c r="D9" i="4" s="1"/>
  <c r="T36" i="2" l="1"/>
  <c r="B16" i="6" s="1"/>
  <c r="S36" i="2"/>
  <c r="A16" i="6" s="1"/>
  <c r="R36" i="2"/>
  <c r="H16" i="6" s="1"/>
  <c r="O36" i="2"/>
  <c r="E16" i="6" s="1"/>
  <c r="Q36" i="2"/>
  <c r="G16" i="6" s="1"/>
  <c r="P36" i="2"/>
  <c r="F16" i="6" s="1"/>
  <c r="N36" i="2"/>
  <c r="D16" i="7" s="1"/>
  <c r="M36" i="2"/>
  <c r="C16" i="7" s="1"/>
  <c r="L36" i="2"/>
  <c r="B16" i="7" s="1"/>
  <c r="K36" i="2"/>
  <c r="A16" i="7" s="1"/>
  <c r="M18" i="2"/>
  <c r="C16" i="5" s="1"/>
  <c r="L18" i="2"/>
  <c r="B16" i="5" s="1"/>
  <c r="K18" i="2"/>
  <c r="A16" i="5" s="1"/>
  <c r="J18" i="2"/>
  <c r="H16" i="5" s="1"/>
  <c r="I18" i="2"/>
  <c r="G16" i="5" s="1"/>
  <c r="H18" i="2"/>
  <c r="F16" i="5" s="1"/>
  <c r="F18" i="2"/>
  <c r="D16" i="8" s="1"/>
  <c r="E18" i="2"/>
  <c r="C16" i="8" s="1"/>
  <c r="D18" i="2"/>
  <c r="B16" i="8" s="1"/>
  <c r="C18" i="2"/>
  <c r="A16" i="8" s="1"/>
  <c r="V36" i="2"/>
  <c r="D16" i="6" s="1"/>
  <c r="U36" i="2"/>
  <c r="C16" i="6" s="1"/>
  <c r="N18" i="2"/>
  <c r="D16" i="5" s="1"/>
  <c r="O18" i="2"/>
  <c r="E16" i="4" s="1"/>
  <c r="P18" i="2"/>
  <c r="F16" i="4" s="1"/>
  <c r="Q18" i="2"/>
  <c r="G16" i="4" s="1"/>
  <c r="R18" i="2"/>
  <c r="H16" i="4" s="1"/>
  <c r="S18" i="2"/>
  <c r="A16" i="4" s="1"/>
  <c r="T18" i="2"/>
  <c r="B16" i="4" s="1"/>
  <c r="U18" i="2"/>
  <c r="C16" i="4" s="1"/>
  <c r="V18" i="2"/>
  <c r="D16" i="4" s="1"/>
  <c r="J23" i="2"/>
  <c r="I23" i="2"/>
  <c r="H23" i="2"/>
  <c r="G23" i="2"/>
  <c r="F23" i="2"/>
  <c r="AD39" i="12" s="1"/>
  <c r="E23" i="2"/>
  <c r="AD40" i="12" s="1"/>
  <c r="D23" i="2"/>
  <c r="AD41" i="12" s="1"/>
  <c r="C23" i="2"/>
  <c r="AD42" i="12" s="1"/>
  <c r="R41" i="2"/>
  <c r="AD43" i="12" s="1"/>
  <c r="Q41" i="2"/>
  <c r="AD44" i="12" s="1"/>
  <c r="P41" i="2"/>
  <c r="AD45" i="12" s="1"/>
  <c r="O41" i="2"/>
  <c r="AD46" i="12" s="1"/>
  <c r="N41" i="2"/>
  <c r="AD47" i="12" s="1"/>
  <c r="M41" i="2"/>
  <c r="AD48" i="12" s="1"/>
  <c r="L41" i="2"/>
  <c r="AD49" i="12" s="1"/>
  <c r="K41" i="2"/>
  <c r="AD50" i="12" s="1"/>
  <c r="J41" i="2"/>
  <c r="AD51" i="12" s="1"/>
  <c r="I41" i="2"/>
  <c r="H41" i="2"/>
  <c r="AD53" i="12" s="1"/>
  <c r="G41" i="2"/>
  <c r="AD54" i="12" s="1"/>
  <c r="F41" i="2"/>
  <c r="AD55" i="12" s="1"/>
  <c r="E41" i="2"/>
  <c r="AD56" i="12" s="1"/>
  <c r="D41" i="2"/>
  <c r="AD57" i="12" s="1"/>
  <c r="C41" i="2"/>
  <c r="AD58" i="12" s="1"/>
  <c r="AE41" i="2"/>
  <c r="AD59" i="12" s="1"/>
  <c r="AD41" i="2"/>
  <c r="AD60" i="12" s="1"/>
  <c r="AC41" i="2"/>
  <c r="AD61" i="12" s="1"/>
  <c r="AB41" i="2"/>
  <c r="AD62" i="12" s="1"/>
  <c r="AA41" i="2"/>
  <c r="AD63" i="12" s="1"/>
  <c r="Z41" i="2"/>
  <c r="AD64" i="12" s="1"/>
  <c r="Y41" i="2"/>
  <c r="AD65" i="12" s="1"/>
  <c r="M23" i="2"/>
  <c r="AD32" i="12" s="1"/>
  <c r="P23" i="2"/>
  <c r="Q23" i="2"/>
  <c r="R23" i="2"/>
  <c r="S23" i="2"/>
  <c r="AD26" i="12" s="1"/>
  <c r="T23" i="2"/>
  <c r="AD25" i="12" s="1"/>
  <c r="U23" i="2"/>
  <c r="AD24" i="12" s="1"/>
  <c r="V23" i="2"/>
  <c r="AD23" i="12" s="1"/>
  <c r="C5" i="2"/>
  <c r="D5" i="2"/>
  <c r="E5" i="2"/>
  <c r="F5" i="2"/>
  <c r="G5" i="2"/>
  <c r="AD18" i="12" s="1"/>
  <c r="H5" i="2"/>
  <c r="AD17" i="12" s="1"/>
  <c r="I5" i="2"/>
  <c r="AD16" i="12" s="1"/>
  <c r="J5" i="2"/>
  <c r="AD15" i="12" s="1"/>
  <c r="K5" i="2"/>
  <c r="AD14" i="12" s="1"/>
  <c r="L5" i="2"/>
  <c r="AD13" i="12" s="1"/>
  <c r="M5" i="2"/>
  <c r="AD12" i="12" s="1"/>
  <c r="N5" i="2"/>
  <c r="AD11" i="12" s="1"/>
  <c r="O5" i="2"/>
  <c r="AD10" i="12" s="1"/>
  <c r="P5" i="2"/>
  <c r="AD9" i="12" s="1"/>
  <c r="Q5" i="2"/>
  <c r="AD8" i="12" s="1"/>
  <c r="R5" i="2"/>
  <c r="AD7" i="12" s="1"/>
  <c r="S5" i="2"/>
  <c r="AD6" i="12" s="1"/>
  <c r="T5" i="2"/>
  <c r="AD5" i="12" s="1"/>
  <c r="U5" i="2"/>
  <c r="C3" i="10" l="1"/>
  <c r="AD52" i="12"/>
  <c r="AD37" i="12"/>
  <c r="F3" i="7"/>
  <c r="AD36" i="12"/>
  <c r="G3" i="7"/>
  <c r="E3" i="7"/>
  <c r="AD38" i="12"/>
  <c r="H3" i="6"/>
  <c r="AD27" i="12"/>
  <c r="G3" i="6"/>
  <c r="AD28" i="12"/>
  <c r="F3" i="6"/>
  <c r="AD29" i="12"/>
  <c r="H3" i="7"/>
  <c r="AD35" i="12"/>
  <c r="C3" i="4"/>
  <c r="AD4" i="12"/>
  <c r="C3" i="8"/>
  <c r="AD20" i="12"/>
  <c r="D3" i="8"/>
  <c r="AD19" i="12"/>
  <c r="B3" i="8"/>
  <c r="AD21" i="12"/>
  <c r="A3" i="8"/>
  <c r="AD22" i="12"/>
  <c r="S4" i="2"/>
  <c r="AE6" i="12" s="1"/>
  <c r="A3" i="4"/>
  <c r="C4" i="2"/>
  <c r="AE22" i="12" s="1"/>
  <c r="C40" i="2"/>
  <c r="AE58" i="12" s="1"/>
  <c r="E3" i="10"/>
  <c r="AE66" i="12"/>
  <c r="A3" i="11"/>
  <c r="R4" i="2"/>
  <c r="AE7" i="12" s="1"/>
  <c r="H3" i="4"/>
  <c r="J4" i="2"/>
  <c r="AE15" i="12" s="1"/>
  <c r="H3" i="5"/>
  <c r="V22" i="2"/>
  <c r="AE23" i="12" s="1"/>
  <c r="D3" i="6"/>
  <c r="Y40" i="2"/>
  <c r="AE65" i="12" s="1"/>
  <c r="B3" i="11"/>
  <c r="D40" i="2"/>
  <c r="AE57" i="12" s="1"/>
  <c r="F3" i="10"/>
  <c r="L40" i="2"/>
  <c r="AE49" i="12" s="1"/>
  <c r="F3" i="9"/>
  <c r="D22" i="2"/>
  <c r="AE41" i="12" s="1"/>
  <c r="F3" i="8"/>
  <c r="Z40" i="2"/>
  <c r="AE64" i="12" s="1"/>
  <c r="C3" i="11"/>
  <c r="K40" i="2"/>
  <c r="AE50" i="12" s="1"/>
  <c r="E3" i="9"/>
  <c r="E22" i="2"/>
  <c r="AE40" i="12" s="1"/>
  <c r="G3" i="8"/>
  <c r="N40" i="2"/>
  <c r="AE47" i="12" s="1"/>
  <c r="H3" i="9"/>
  <c r="Q4" i="2"/>
  <c r="AE8" i="12" s="1"/>
  <c r="G3" i="4"/>
  <c r="I4" i="2"/>
  <c r="AE16" i="12" s="1"/>
  <c r="G3" i="5"/>
  <c r="U22" i="2"/>
  <c r="AE24" i="12" s="1"/>
  <c r="C3" i="6"/>
  <c r="E40" i="2"/>
  <c r="AE56" i="12" s="1"/>
  <c r="G3" i="10"/>
  <c r="M40" i="2"/>
  <c r="AE48" i="12" s="1"/>
  <c r="G3" i="9"/>
  <c r="P4" i="2"/>
  <c r="AE9" i="12" s="1"/>
  <c r="F3" i="4"/>
  <c r="AA40" i="2"/>
  <c r="AE63" i="12" s="1"/>
  <c r="D3" i="11"/>
  <c r="F22" i="2"/>
  <c r="AE39" i="12" s="1"/>
  <c r="H3" i="8"/>
  <c r="G4" i="2"/>
  <c r="AE18" i="12" s="1"/>
  <c r="E3" i="5"/>
  <c r="AB40" i="2"/>
  <c r="AE62" i="12" s="1"/>
  <c r="E3" i="11"/>
  <c r="O40" i="2"/>
  <c r="AE46" i="12" s="1"/>
  <c r="A3" i="9"/>
  <c r="G22" i="2"/>
  <c r="AE38" i="12" s="1"/>
  <c r="R22" i="2"/>
  <c r="AE27" i="12" s="1"/>
  <c r="M4" i="2"/>
  <c r="AE12" i="12" s="1"/>
  <c r="C3" i="5"/>
  <c r="Q22" i="2"/>
  <c r="AE28" i="12" s="1"/>
  <c r="AD40" i="2"/>
  <c r="AE60" i="12" s="1"/>
  <c r="G3" i="11"/>
  <c r="I22" i="2"/>
  <c r="AE36" i="12" s="1"/>
  <c r="K4" i="2"/>
  <c r="AE14" i="12" s="1"/>
  <c r="A3" i="5"/>
  <c r="M22" i="2"/>
  <c r="AE32" i="12" s="1"/>
  <c r="C3" i="7"/>
  <c r="C22" i="2"/>
  <c r="AE42" i="12" s="1"/>
  <c r="E3" i="8"/>
  <c r="H4" i="2"/>
  <c r="AE17" i="12" s="1"/>
  <c r="F3" i="5"/>
  <c r="T22" i="2"/>
  <c r="AE25" i="12" s="1"/>
  <c r="B3" i="6"/>
  <c r="F40" i="2"/>
  <c r="AE55" i="12" s="1"/>
  <c r="H3" i="10"/>
  <c r="O4" i="2"/>
  <c r="AE10" i="12" s="1"/>
  <c r="E3" i="4"/>
  <c r="S22" i="2"/>
  <c r="AE26" i="12" s="1"/>
  <c r="A3" i="6"/>
  <c r="G40" i="2"/>
  <c r="AE54" i="12" s="1"/>
  <c r="A3" i="10"/>
  <c r="N4" i="2"/>
  <c r="AE11" i="12" s="1"/>
  <c r="D3" i="5"/>
  <c r="F4" i="2"/>
  <c r="AE19" i="12" s="1"/>
  <c r="AC40" i="2"/>
  <c r="AE61" i="12" s="1"/>
  <c r="F3" i="11"/>
  <c r="H40" i="2"/>
  <c r="AE53" i="12" s="1"/>
  <c r="B3" i="10"/>
  <c r="P40" i="2"/>
  <c r="AE45" i="12" s="1"/>
  <c r="B3" i="9"/>
  <c r="H22" i="2"/>
  <c r="AE37" i="12" s="1"/>
  <c r="E4" i="2"/>
  <c r="AE20" i="12" s="1"/>
  <c r="Q40" i="2"/>
  <c r="AE44" i="12" s="1"/>
  <c r="C3" i="9"/>
  <c r="T4" i="2"/>
  <c r="AE5" i="12" s="1"/>
  <c r="B3" i="4"/>
  <c r="L4" i="2"/>
  <c r="AE13" i="12" s="1"/>
  <c r="B3" i="5"/>
  <c r="D4" i="2"/>
  <c r="AE21" i="12" s="1"/>
  <c r="P22" i="2"/>
  <c r="AE29" i="12" s="1"/>
  <c r="AE40" i="2"/>
  <c r="AE59" i="12" s="1"/>
  <c r="H3" i="11"/>
  <c r="J40" i="2"/>
  <c r="AE51" i="12" s="1"/>
  <c r="D3" i="10"/>
  <c r="R40" i="2"/>
  <c r="AE43" i="12" s="1"/>
  <c r="D3" i="9"/>
  <c r="J22" i="2"/>
  <c r="AE35" i="12" s="1"/>
  <c r="Z60" i="12"/>
  <c r="Z61" i="12"/>
  <c r="Z59" i="12"/>
  <c r="Z66" i="12"/>
  <c r="Z65" i="12"/>
  <c r="Z64" i="12"/>
  <c r="Z63" i="12"/>
  <c r="Z62" i="12"/>
  <c r="Z52" i="12"/>
  <c r="Z51" i="12"/>
  <c r="Z58" i="12"/>
  <c r="Z57" i="12"/>
  <c r="Z53" i="12"/>
  <c r="Z56" i="12"/>
  <c r="Z55" i="12"/>
  <c r="Z54" i="12"/>
  <c r="Z42" i="12"/>
  <c r="Z41" i="12"/>
  <c r="Z40" i="12"/>
  <c r="Z38" i="12"/>
  <c r="Z37" i="12"/>
  <c r="Z35" i="12"/>
  <c r="Z36" i="12"/>
  <c r="Z50" i="12"/>
  <c r="Z47" i="12"/>
  <c r="Z49" i="12"/>
  <c r="Z48" i="12"/>
  <c r="Z46" i="12"/>
  <c r="Z45" i="12"/>
  <c r="Z44" i="12"/>
  <c r="Z21" i="12"/>
  <c r="Z20" i="12"/>
  <c r="Z19" i="12"/>
  <c r="Z26" i="12"/>
  <c r="Z25" i="12"/>
  <c r="Z24" i="12"/>
  <c r="Z23" i="12"/>
  <c r="Z22" i="12"/>
  <c r="Z13" i="12"/>
  <c r="Z12" i="12"/>
  <c r="Z11" i="12"/>
  <c r="Z18" i="12"/>
  <c r="Z17" i="12"/>
  <c r="Z14" i="12"/>
  <c r="Z16" i="12"/>
  <c r="Z15" i="12"/>
  <c r="Z6" i="12"/>
  <c r="Z5" i="12"/>
  <c r="Z4" i="12"/>
  <c r="Z10" i="12"/>
  <c r="Z9" i="12"/>
  <c r="Z8" i="12"/>
  <c r="Z7" i="12"/>
  <c r="Z29" i="12"/>
  <c r="Z30" i="12"/>
  <c r="Z28" i="12"/>
  <c r="Z27" i="12"/>
  <c r="Z33" i="12"/>
  <c r="Z32" i="12"/>
  <c r="Z34" i="12"/>
  <c r="Z31" i="12"/>
  <c r="U4" i="2"/>
  <c r="AE4" i="12" s="1"/>
  <c r="I40" i="2"/>
  <c r="AE52" i="12" s="1"/>
  <c r="AB17" i="3"/>
  <c r="AA17" i="3"/>
  <c r="Z17" i="3"/>
  <c r="Z15" i="3"/>
  <c r="Y17" i="3"/>
  <c r="Y13" i="3"/>
  <c r="AB5" i="3"/>
  <c r="AB7" i="3"/>
  <c r="AB9" i="3"/>
  <c r="AB18" i="3"/>
  <c r="AB16" i="3"/>
  <c r="AB14" i="3"/>
  <c r="AB12" i="3"/>
  <c r="AB8" i="3"/>
  <c r="AB13" i="3"/>
  <c r="AB19" i="3"/>
  <c r="Y7" i="3"/>
  <c r="Y9" i="3"/>
  <c r="AA15" i="3"/>
  <c r="Z9" i="3"/>
  <c r="Y19" i="3"/>
  <c r="Y15" i="3"/>
  <c r="Y6" i="3"/>
  <c r="AB15" i="3"/>
  <c r="AA9" i="3"/>
  <c r="Y8" i="3"/>
  <c r="Y10" i="3"/>
  <c r="AA18" i="3"/>
  <c r="AA16" i="3"/>
  <c r="AA14" i="3"/>
  <c r="AA12" i="3"/>
  <c r="Z6" i="3"/>
  <c r="Z8" i="3"/>
  <c r="Z10" i="3"/>
  <c r="Z18" i="3"/>
  <c r="Z14" i="3"/>
  <c r="Z12" i="3"/>
  <c r="AB6" i="3"/>
  <c r="Z11" i="3"/>
  <c r="AA19" i="3"/>
  <c r="AA13" i="3"/>
  <c r="Z7" i="3"/>
  <c r="Z19" i="3"/>
  <c r="Z13" i="3"/>
  <c r="AA7" i="3"/>
  <c r="AA6" i="3"/>
  <c r="AA8" i="3"/>
  <c r="AA10" i="3"/>
  <c r="Y18" i="3"/>
  <c r="Y16" i="3"/>
  <c r="Y14" i="3"/>
  <c r="Y12" i="3"/>
  <c r="AB4" i="3"/>
  <c r="Y5" i="3"/>
  <c r="Z5" i="3"/>
  <c r="AA5" i="3"/>
  <c r="AA4" i="3"/>
  <c r="Z4" i="3"/>
  <c r="Z3" i="12"/>
  <c r="Z39" i="12"/>
  <c r="Z43" i="12"/>
  <c r="G39" i="2"/>
  <c r="A2" i="10" s="1"/>
  <c r="Z16" i="3"/>
  <c r="V5" i="2"/>
  <c r="L23" i="2"/>
  <c r="AD33" i="12" s="1"/>
  <c r="G3" i="2"/>
  <c r="E2" i="5" s="1"/>
  <c r="O3" i="2"/>
  <c r="E2" i="4" s="1"/>
  <c r="K3" i="2"/>
  <c r="A2" i="5" s="1"/>
  <c r="AB39" i="2"/>
  <c r="E2" i="11" s="1"/>
  <c r="X39" i="2"/>
  <c r="A2" i="11" s="1"/>
  <c r="K39" i="2"/>
  <c r="E2" i="9" s="1"/>
  <c r="O39" i="2"/>
  <c r="A2" i="9" s="1"/>
  <c r="C21" i="2"/>
  <c r="E2" i="8" s="1"/>
  <c r="C39" i="2"/>
  <c r="E2" i="10" s="1"/>
  <c r="G21" i="2"/>
  <c r="E2" i="7" s="1"/>
  <c r="O23" i="2"/>
  <c r="K23" i="2"/>
  <c r="AD34" i="12" s="1"/>
  <c r="N23" i="2"/>
  <c r="AD31" i="12" s="1"/>
  <c r="C3" i="2"/>
  <c r="A2" i="8" s="1"/>
  <c r="S21" i="2"/>
  <c r="A2" i="6" s="1"/>
  <c r="E3" i="6" l="1"/>
  <c r="AD30" i="12"/>
  <c r="D3" i="4"/>
  <c r="O22" i="2"/>
  <c r="AE30" i="12" s="1"/>
  <c r="N22" i="2"/>
  <c r="AE31" i="12" s="1"/>
  <c r="D3" i="7"/>
  <c r="L22" i="2"/>
  <c r="AE33" i="12" s="1"/>
  <c r="B3" i="7"/>
  <c r="K22" i="2"/>
  <c r="AE34" i="12" s="1"/>
  <c r="A3" i="7"/>
  <c r="X12" i="3"/>
  <c r="AC12" i="3" s="1"/>
  <c r="X17" i="3"/>
  <c r="AC17" i="3" s="1"/>
  <c r="V4" i="2"/>
  <c r="AE3" i="12" s="1"/>
  <c r="X19" i="3"/>
  <c r="AC19" i="3" s="1"/>
  <c r="X8" i="3"/>
  <c r="AC8" i="3" s="1"/>
  <c r="X6" i="3"/>
  <c r="AC6" i="3" s="1"/>
  <c r="X5" i="3"/>
  <c r="AC5" i="3" s="1"/>
  <c r="X14" i="3"/>
  <c r="AC14" i="3" s="1"/>
  <c r="X18" i="3"/>
  <c r="AC18" i="3" s="1"/>
  <c r="X15" i="3"/>
  <c r="AC15" i="3" s="1"/>
  <c r="X9" i="3"/>
  <c r="AC9" i="3" s="1"/>
  <c r="X7" i="3"/>
  <c r="AC7" i="3" s="1"/>
  <c r="X13" i="3"/>
  <c r="AC13" i="3" s="1"/>
  <c r="Y11" i="3"/>
  <c r="AB11" i="3"/>
  <c r="AB10" i="3"/>
  <c r="X10" i="3" s="1"/>
  <c r="AC10" i="3" s="1"/>
  <c r="AA11" i="3"/>
  <c r="Y4" i="3"/>
  <c r="K20" i="2"/>
  <c r="A1" i="7" s="1"/>
  <c r="G20" i="2"/>
  <c r="E1" i="7" s="1"/>
  <c r="O2" i="2"/>
  <c r="E1" i="4" s="1"/>
  <c r="G2" i="2"/>
  <c r="E1" i="5" s="1"/>
  <c r="O20" i="2"/>
  <c r="E1" i="6" s="1"/>
  <c r="C20" i="2"/>
  <c r="E1" i="8" s="1"/>
  <c r="G38" i="2"/>
  <c r="A1" i="10" s="1"/>
  <c r="AB38" i="2"/>
  <c r="E1" i="11" s="1"/>
  <c r="S2" i="2"/>
  <c r="A1" i="4" s="1"/>
  <c r="C38" i="2"/>
  <c r="E1" i="10" s="1"/>
  <c r="O38" i="2"/>
  <c r="A1" i="9" s="1"/>
  <c r="K38" i="2"/>
  <c r="E1" i="9" s="1"/>
  <c r="S20" i="2"/>
  <c r="A1" i="6" s="1"/>
  <c r="K2" i="2"/>
  <c r="A1" i="5" s="1"/>
  <c r="X38" i="2"/>
  <c r="A1" i="11" s="1"/>
  <c r="C2" i="2"/>
  <c r="A1" i="8" s="1"/>
  <c r="X16" i="3"/>
  <c r="AC16" i="3" s="1"/>
  <c r="O21" i="2"/>
  <c r="E2" i="6" s="1"/>
  <c r="S3" i="2"/>
  <c r="A2" i="4" s="1"/>
  <c r="K21" i="2"/>
  <c r="A2" i="7" s="1"/>
  <c r="AG52" i="12" l="1"/>
  <c r="AG30" i="12"/>
  <c r="AG34" i="12"/>
  <c r="AG18" i="12"/>
  <c r="AG36" i="12"/>
  <c r="AG15" i="12"/>
  <c r="AG23" i="12"/>
  <c r="AG59" i="12"/>
  <c r="AG49" i="12"/>
  <c r="AG45" i="12"/>
  <c r="AG62" i="12"/>
  <c r="AG11" i="12"/>
  <c r="AG10" i="12"/>
  <c r="AG35" i="12"/>
  <c r="AG53" i="12"/>
  <c r="AG14" i="12"/>
  <c r="AG3" i="12"/>
  <c r="AF3" i="12" s="1"/>
  <c r="AG4" i="12"/>
  <c r="AG55" i="12"/>
  <c r="AG29" i="12"/>
  <c r="AG7" i="12"/>
  <c r="AG13" i="12"/>
  <c r="AG48" i="12"/>
  <c r="AG64" i="12"/>
  <c r="AG24" i="12"/>
  <c r="AG22" i="12"/>
  <c r="AG54" i="12"/>
  <c r="AG12" i="12"/>
  <c r="AG51" i="12"/>
  <c r="AG38" i="12"/>
  <c r="AG21" i="12"/>
  <c r="AG61" i="12"/>
  <c r="AG39" i="12"/>
  <c r="AG19" i="12"/>
  <c r="AG9" i="12"/>
  <c r="AG5" i="12"/>
  <c r="AG60" i="12"/>
  <c r="AG17" i="12"/>
  <c r="AG65" i="12"/>
  <c r="AG63" i="12"/>
  <c r="AG58" i="12"/>
  <c r="AG32" i="12"/>
  <c r="AG37" i="12"/>
  <c r="AG47" i="12"/>
  <c r="AG66" i="12"/>
  <c r="AG46" i="12"/>
  <c r="AG8" i="12"/>
  <c r="AG28" i="12"/>
  <c r="AG44" i="12"/>
  <c r="AG16" i="12"/>
  <c r="AG26" i="12"/>
  <c r="AG42" i="12"/>
  <c r="AG41" i="12"/>
  <c r="AG57" i="12"/>
  <c r="AG25" i="12"/>
  <c r="AG20" i="12"/>
  <c r="AG27" i="12"/>
  <c r="AG40" i="12"/>
  <c r="AG6" i="12"/>
  <c r="AG43" i="12"/>
  <c r="AG56" i="12"/>
  <c r="AG50" i="12"/>
  <c r="X4" i="3"/>
  <c r="AC4" i="3" s="1"/>
  <c r="AG31" i="12"/>
  <c r="AG33" i="12"/>
  <c r="X11" i="3"/>
  <c r="AC11" i="3" s="1"/>
  <c r="AF5" i="12" l="1"/>
  <c r="AF4" i="12"/>
  <c r="AF38" i="12"/>
  <c r="AF31" i="12"/>
  <c r="AF20" i="12"/>
  <c r="AF28" i="12"/>
  <c r="AF40" i="12"/>
  <c r="AF25" i="12"/>
  <c r="AF21" i="12"/>
  <c r="AF23" i="12"/>
  <c r="AF35" i="12"/>
  <c r="AF36" i="12"/>
  <c r="AF29" i="12"/>
  <c r="AF26" i="12"/>
  <c r="AF37" i="12"/>
  <c r="AF34" i="12"/>
  <c r="AF32" i="12"/>
  <c r="AF22" i="12"/>
  <c r="AF30" i="12"/>
  <c r="AF41" i="12"/>
  <c r="AF33" i="12"/>
  <c r="AF27" i="12"/>
  <c r="AF39" i="12"/>
  <c r="AF24" i="12"/>
  <c r="W19" i="3"/>
  <c r="W18" i="3"/>
  <c r="C3" i="12"/>
  <c r="C4" i="12"/>
  <c r="C12" i="12"/>
  <c r="C20" i="12"/>
  <c r="C28" i="12"/>
  <c r="C36" i="12"/>
  <c r="C44" i="12"/>
  <c r="C52" i="12"/>
  <c r="C60" i="12"/>
  <c r="C38" i="12"/>
  <c r="C62" i="12"/>
  <c r="C23" i="12"/>
  <c r="C47" i="12"/>
  <c r="C63" i="12"/>
  <c r="C32" i="12"/>
  <c r="C51" i="12"/>
  <c r="C5" i="12"/>
  <c r="C13" i="12"/>
  <c r="C21" i="12"/>
  <c r="C29" i="12"/>
  <c r="C37" i="12"/>
  <c r="C45" i="12"/>
  <c r="C53" i="12"/>
  <c r="C61" i="12"/>
  <c r="C46" i="12"/>
  <c r="C54" i="12"/>
  <c r="C31" i="12"/>
  <c r="C55" i="12"/>
  <c r="C40" i="12"/>
  <c r="C64" i="12"/>
  <c r="C43" i="12"/>
  <c r="C6" i="12"/>
  <c r="C14" i="12"/>
  <c r="C22" i="12"/>
  <c r="C30" i="12"/>
  <c r="C39" i="12"/>
  <c r="C7" i="12"/>
  <c r="C15" i="12"/>
  <c r="C56" i="12"/>
  <c r="C8" i="12"/>
  <c r="C16" i="12"/>
  <c r="C24" i="12"/>
  <c r="C48" i="12"/>
  <c r="C9" i="12"/>
  <c r="C17" i="12"/>
  <c r="C25" i="12"/>
  <c r="C33" i="12"/>
  <c r="C41" i="12"/>
  <c r="C49" i="12"/>
  <c r="C57" i="12"/>
  <c r="C65" i="12"/>
  <c r="C59" i="12"/>
  <c r="C10" i="12"/>
  <c r="C18" i="12"/>
  <c r="C26" i="12"/>
  <c r="C34" i="12"/>
  <c r="C42" i="12"/>
  <c r="C50" i="12"/>
  <c r="C58" i="12"/>
  <c r="C66" i="12"/>
  <c r="C11" i="12"/>
  <c r="C19" i="12"/>
  <c r="C27" i="12"/>
  <c r="C35" i="12"/>
  <c r="W10" i="3"/>
  <c r="W4" i="3"/>
  <c r="AF63" i="12"/>
  <c r="AF59" i="12"/>
  <c r="AF8" i="12"/>
  <c r="AF65" i="12"/>
  <c r="AF48" i="12"/>
  <c r="AF53" i="12"/>
  <c r="AF61" i="12"/>
  <c r="AF14" i="12"/>
  <c r="AF50" i="12"/>
  <c r="AF57" i="12"/>
  <c r="AF46" i="12"/>
  <c r="AF17" i="12"/>
  <c r="AF13" i="12"/>
  <c r="AF15" i="12"/>
  <c r="AF56" i="12"/>
  <c r="AF66" i="12"/>
  <c r="AF60" i="12"/>
  <c r="AF51" i="12"/>
  <c r="AF7" i="12"/>
  <c r="AF10" i="12"/>
  <c r="AF43" i="12"/>
  <c r="AF42" i="12"/>
  <c r="AF47" i="12"/>
  <c r="AF12" i="12"/>
  <c r="AF11" i="12"/>
  <c r="AF18" i="12"/>
  <c r="AF64" i="12"/>
  <c r="AF6" i="12"/>
  <c r="AF9" i="12"/>
  <c r="AF54" i="12"/>
  <c r="AF55" i="12"/>
  <c r="AF62" i="12"/>
  <c r="AF16" i="12"/>
  <c r="AF19" i="12"/>
  <c r="AF45" i="12"/>
  <c r="AF44" i="12"/>
  <c r="AF58" i="12"/>
  <c r="AF49" i="12"/>
  <c r="AF52" i="12"/>
  <c r="W16" i="3"/>
  <c r="W7" i="3"/>
  <c r="W5" i="3"/>
  <c r="W6" i="3"/>
  <c r="W9" i="3"/>
  <c r="W12" i="3"/>
  <c r="W8" i="3"/>
  <c r="W13" i="3"/>
  <c r="W17" i="3"/>
  <c r="W14" i="3"/>
  <c r="W15" i="3"/>
  <c r="W11" i="3"/>
  <c r="F26" i="12" l="1"/>
  <c r="H26" i="12" s="1"/>
  <c r="V4" i="3"/>
  <c r="C18" i="3"/>
  <c r="V19" i="3"/>
  <c r="V17" i="3"/>
  <c r="V18" i="3"/>
  <c r="D3" i="12"/>
  <c r="G3" i="12"/>
  <c r="I3" i="12" s="1"/>
  <c r="F3" i="12"/>
  <c r="H3" i="12" s="1"/>
  <c r="E3" i="12"/>
  <c r="G52" i="12"/>
  <c r="F52" i="12"/>
  <c r="H52" i="12" s="1"/>
  <c r="E52" i="12"/>
  <c r="D52" i="12"/>
  <c r="E54" i="12"/>
  <c r="E47" i="12"/>
  <c r="E32" i="12"/>
  <c r="G13" i="12"/>
  <c r="F13" i="12"/>
  <c r="H13" i="12" s="1"/>
  <c r="G60" i="12"/>
  <c r="F60" i="12"/>
  <c r="H60" i="12" s="1"/>
  <c r="E60" i="12"/>
  <c r="D60" i="12"/>
  <c r="D6" i="12"/>
  <c r="E63" i="12"/>
  <c r="E56" i="12"/>
  <c r="G21" i="12"/>
  <c r="F21" i="12"/>
  <c r="H21" i="12" s="1"/>
  <c r="E21" i="12"/>
  <c r="D21" i="12"/>
  <c r="F38" i="12"/>
  <c r="H38" i="12" s="1"/>
  <c r="D54" i="12"/>
  <c r="F48" i="12"/>
  <c r="H48" i="12" s="1"/>
  <c r="G30" i="12"/>
  <c r="D23" i="12"/>
  <c r="G47" i="12"/>
  <c r="F63" i="12"/>
  <c r="H63" i="12" s="1"/>
  <c r="G48" i="12"/>
  <c r="D32" i="12"/>
  <c r="G65" i="12"/>
  <c r="G4" i="12"/>
  <c r="F4" i="12"/>
  <c r="H4" i="12" s="1"/>
  <c r="E4" i="12"/>
  <c r="D4" i="12"/>
  <c r="G62" i="12"/>
  <c r="D30" i="12"/>
  <c r="D15" i="12"/>
  <c r="D8" i="12"/>
  <c r="G29" i="12"/>
  <c r="F29" i="12"/>
  <c r="H29" i="12" s="1"/>
  <c r="E29" i="12"/>
  <c r="D29" i="12"/>
  <c r="F54" i="12"/>
  <c r="H54" i="12" s="1"/>
  <c r="F55" i="12"/>
  <c r="H55" i="12" s="1"/>
  <c r="E8" i="12"/>
  <c r="G38" i="12"/>
  <c r="F56" i="12"/>
  <c r="H56" i="12" s="1"/>
  <c r="G55" i="12"/>
  <c r="E24" i="12"/>
  <c r="G56" i="12"/>
  <c r="G9" i="12"/>
  <c r="F9" i="12"/>
  <c r="H9" i="12" s="1"/>
  <c r="E9" i="12"/>
  <c r="G50" i="12"/>
  <c r="F50" i="12"/>
  <c r="H50" i="12" s="1"/>
  <c r="E50" i="12"/>
  <c r="D50" i="12"/>
  <c r="G51" i="12"/>
  <c r="F51" i="12"/>
  <c r="H51" i="12" s="1"/>
  <c r="E51" i="12"/>
  <c r="E65" i="12"/>
  <c r="E57" i="12"/>
  <c r="D46" i="12"/>
  <c r="D31" i="12"/>
  <c r="G37" i="12"/>
  <c r="F37" i="12"/>
  <c r="H37" i="12" s="1"/>
  <c r="E37" i="12"/>
  <c r="E14" i="12"/>
  <c r="E23" i="12"/>
  <c r="E40" i="12"/>
  <c r="G46" i="12"/>
  <c r="G63" i="12"/>
  <c r="D48" i="12"/>
  <c r="G64" i="12"/>
  <c r="G17" i="12"/>
  <c r="E17" i="12"/>
  <c r="G58" i="12"/>
  <c r="F58" i="12"/>
  <c r="H58" i="12" s="1"/>
  <c r="E58" i="12"/>
  <c r="G59" i="12"/>
  <c r="F59" i="12"/>
  <c r="H59" i="12" s="1"/>
  <c r="E59" i="12"/>
  <c r="E41" i="12"/>
  <c r="F45" i="12"/>
  <c r="H45" i="12" s="1"/>
  <c r="E45" i="12"/>
  <c r="D45" i="12"/>
  <c r="E48" i="12"/>
  <c r="G54" i="12"/>
  <c r="G7" i="12"/>
  <c r="G8" i="12"/>
  <c r="G25" i="12"/>
  <c r="F25" i="12"/>
  <c r="H25" i="12" s="1"/>
  <c r="E25" i="12"/>
  <c r="E66" i="12"/>
  <c r="D66" i="12"/>
  <c r="D9" i="12"/>
  <c r="F44" i="12"/>
  <c r="H44" i="12" s="1"/>
  <c r="E38" i="12"/>
  <c r="F5" i="12"/>
  <c r="H5" i="12" s="1"/>
  <c r="F6" i="12"/>
  <c r="H6" i="12" s="1"/>
  <c r="G14" i="12"/>
  <c r="F31" i="12"/>
  <c r="H31" i="12" s="1"/>
  <c r="G49" i="12"/>
  <c r="G26" i="12"/>
  <c r="E26" i="12"/>
  <c r="G27" i="12"/>
  <c r="E27" i="12"/>
  <c r="G12" i="12"/>
  <c r="F12" i="12"/>
  <c r="H12" i="12" s="1"/>
  <c r="E12" i="12"/>
  <c r="D12" i="12"/>
  <c r="F14" i="12"/>
  <c r="H14" i="12" s="1"/>
  <c r="D24" i="12"/>
  <c r="D37" i="12"/>
  <c r="D16" i="12"/>
  <c r="F17" i="12"/>
  <c r="H17" i="12" s="1"/>
  <c r="D58" i="12"/>
  <c r="D41" i="12"/>
  <c r="E30" i="12"/>
  <c r="F7" i="12"/>
  <c r="H7" i="12" s="1"/>
  <c r="G66" i="12"/>
  <c r="G5" i="12"/>
  <c r="G32" i="12"/>
  <c r="F27" i="12"/>
  <c r="H27" i="12" s="1"/>
  <c r="G20" i="12"/>
  <c r="F20" i="12"/>
  <c r="H20" i="12" s="1"/>
  <c r="E20" i="12"/>
  <c r="D20" i="12"/>
  <c r="F46" i="12"/>
  <c r="H46" i="12" s="1"/>
  <c r="D62" i="12"/>
  <c r="D47" i="12"/>
  <c r="D40" i="12"/>
  <c r="G45" i="12"/>
  <c r="E39" i="12"/>
  <c r="F8" i="12"/>
  <c r="H8" i="12" s="1"/>
  <c r="F66" i="12"/>
  <c r="H66" i="12" s="1"/>
  <c r="D33" i="12"/>
  <c r="D44" i="12"/>
  <c r="D14" i="12"/>
  <c r="D26" i="12"/>
  <c r="G28" i="12"/>
  <c r="F28" i="12"/>
  <c r="H28" i="12" s="1"/>
  <c r="E28" i="12"/>
  <c r="D28" i="12"/>
  <c r="F62" i="12"/>
  <c r="H62" i="12" s="1"/>
  <c r="F47" i="12"/>
  <c r="H47" i="12" s="1"/>
  <c r="D63" i="12"/>
  <c r="D56" i="12"/>
  <c r="G53" i="12"/>
  <c r="F53" i="12"/>
  <c r="H53" i="12" s="1"/>
  <c r="E53" i="12"/>
  <c r="D53" i="12"/>
  <c r="E46" i="12"/>
  <c r="E55" i="12"/>
  <c r="E64" i="12"/>
  <c r="F22" i="12"/>
  <c r="H22" i="12" s="1"/>
  <c r="G15" i="12"/>
  <c r="F15" i="12"/>
  <c r="H15" i="12" s="1"/>
  <c r="G16" i="12"/>
  <c r="F16" i="12"/>
  <c r="H16" i="12" s="1"/>
  <c r="G33" i="12"/>
  <c r="F33" i="12"/>
  <c r="H33" i="12" s="1"/>
  <c r="G10" i="12"/>
  <c r="F10" i="12"/>
  <c r="H10" i="12" s="1"/>
  <c r="E10" i="12"/>
  <c r="D10" i="12"/>
  <c r="G11" i="12"/>
  <c r="F11" i="12"/>
  <c r="H11" i="12" s="1"/>
  <c r="E11" i="12"/>
  <c r="D11" i="12"/>
  <c r="D65" i="12"/>
  <c r="D49" i="12"/>
  <c r="E62" i="12"/>
  <c r="D7" i="12"/>
  <c r="E6" i="12"/>
  <c r="F23" i="12"/>
  <c r="H23" i="12" s="1"/>
  <c r="F24" i="12"/>
  <c r="H24" i="12" s="1"/>
  <c r="G18" i="12"/>
  <c r="E18" i="12"/>
  <c r="E44" i="12"/>
  <c r="F64" i="12"/>
  <c r="H64" i="12" s="1"/>
  <c r="D5" i="12"/>
  <c r="G36" i="12"/>
  <c r="F36" i="12"/>
  <c r="H36" i="12" s="1"/>
  <c r="E36" i="12"/>
  <c r="D36" i="12"/>
  <c r="E22" i="12"/>
  <c r="E15" i="12"/>
  <c r="F40" i="12"/>
  <c r="H40" i="12" s="1"/>
  <c r="D64" i="12"/>
  <c r="G61" i="12"/>
  <c r="F61" i="12"/>
  <c r="H61" i="12" s="1"/>
  <c r="E61" i="12"/>
  <c r="D61" i="12"/>
  <c r="G6" i="12"/>
  <c r="G23" i="12"/>
  <c r="G24" i="12"/>
  <c r="G41" i="12"/>
  <c r="F41" i="12"/>
  <c r="H41" i="12" s="1"/>
  <c r="F18" i="12"/>
  <c r="H18" i="12" s="1"/>
  <c r="D18" i="12"/>
  <c r="G19" i="12"/>
  <c r="F19" i="12"/>
  <c r="H19" i="12" s="1"/>
  <c r="E19" i="12"/>
  <c r="D19" i="12"/>
  <c r="D35" i="12"/>
  <c r="D17" i="12"/>
  <c r="G44" i="12"/>
  <c r="E31" i="12"/>
  <c r="E5" i="12"/>
  <c r="D22" i="12"/>
  <c r="D39" i="12"/>
  <c r="G31" i="12"/>
  <c r="F32" i="12"/>
  <c r="H32" i="12" s="1"/>
  <c r="F49" i="12"/>
  <c r="H49" i="12" s="1"/>
  <c r="G39" i="12"/>
  <c r="G42" i="12"/>
  <c r="G43" i="12"/>
  <c r="D43" i="12"/>
  <c r="G40" i="12"/>
  <c r="F43" i="12"/>
  <c r="H43" i="12" s="1"/>
  <c r="E35" i="12"/>
  <c r="E42" i="12"/>
  <c r="D25" i="12"/>
  <c r="D59" i="12"/>
  <c r="E13" i="12"/>
  <c r="F39" i="12"/>
  <c r="H39" i="12" s="1"/>
  <c r="F34" i="12"/>
  <c r="H34" i="12" s="1"/>
  <c r="F35" i="12"/>
  <c r="H35" i="12" s="1"/>
  <c r="E49" i="12"/>
  <c r="F42" i="12"/>
  <c r="H42" i="12" s="1"/>
  <c r="E34" i="12"/>
  <c r="D51" i="12"/>
  <c r="E43" i="12"/>
  <c r="D42" i="12"/>
  <c r="D13" i="12"/>
  <c r="G34" i="12"/>
  <c r="F30" i="12"/>
  <c r="H30" i="12" s="1"/>
  <c r="E16" i="12"/>
  <c r="G35" i="12"/>
  <c r="D38" i="12"/>
  <c r="G57" i="12"/>
  <c r="E7" i="12"/>
  <c r="D55" i="12"/>
  <c r="F57" i="12"/>
  <c r="H57" i="12" s="1"/>
  <c r="D34" i="12"/>
  <c r="E33" i="12"/>
  <c r="D57" i="12"/>
  <c r="G22" i="12"/>
  <c r="F65" i="12"/>
  <c r="H65" i="12" s="1"/>
  <c r="D27" i="12"/>
  <c r="V5" i="3"/>
  <c r="C5" i="3"/>
  <c r="C17" i="3"/>
  <c r="C9" i="3"/>
  <c r="C8" i="3"/>
  <c r="C19" i="3"/>
  <c r="C7" i="3"/>
  <c r="C6" i="3"/>
  <c r="C15" i="3"/>
  <c r="C11" i="3"/>
  <c r="C10" i="3"/>
  <c r="C4" i="3"/>
  <c r="C13" i="3"/>
  <c r="C12" i="3"/>
  <c r="C16" i="3"/>
  <c r="C14" i="3"/>
  <c r="V11" i="3"/>
  <c r="V6" i="3"/>
  <c r="V9" i="3"/>
  <c r="V10" i="3"/>
  <c r="V7" i="3"/>
  <c r="V13" i="3"/>
  <c r="V12" i="3"/>
  <c r="V14" i="3"/>
  <c r="V8" i="3"/>
  <c r="V15" i="3"/>
  <c r="V16" i="3"/>
  <c r="B4" i="3" l="1"/>
  <c r="D4" i="3" s="1"/>
  <c r="E4" i="3" s="1"/>
  <c r="I28" i="12"/>
  <c r="J28" i="12"/>
  <c r="J59" i="12"/>
  <c r="I59" i="12"/>
  <c r="I55" i="12"/>
  <c r="J55" i="12"/>
  <c r="I30" i="12"/>
  <c r="J30" i="12"/>
  <c r="I29" i="12"/>
  <c r="J29" i="12"/>
  <c r="I4" i="12"/>
  <c r="J4" i="12"/>
  <c r="J24" i="12"/>
  <c r="I24" i="12"/>
  <c r="J13" i="12"/>
  <c r="I13" i="12"/>
  <c r="J57" i="12"/>
  <c r="I57" i="12"/>
  <c r="I23" i="12"/>
  <c r="J23" i="12"/>
  <c r="I14" i="12"/>
  <c r="J14" i="12"/>
  <c r="J46" i="12"/>
  <c r="I46" i="12"/>
  <c r="I22" i="12"/>
  <c r="J22" i="12"/>
  <c r="J43" i="12"/>
  <c r="I43" i="12"/>
  <c r="I6" i="12"/>
  <c r="J6" i="12"/>
  <c r="I10" i="12"/>
  <c r="J10" i="12"/>
  <c r="J32" i="12"/>
  <c r="I32" i="12"/>
  <c r="J12" i="12"/>
  <c r="I12" i="12"/>
  <c r="I50" i="12"/>
  <c r="J50" i="12"/>
  <c r="J38" i="12"/>
  <c r="I38" i="12"/>
  <c r="I65" i="12"/>
  <c r="J65" i="12"/>
  <c r="I40" i="12"/>
  <c r="J40" i="12"/>
  <c r="I15" i="12"/>
  <c r="J15" i="12"/>
  <c r="I54" i="12"/>
  <c r="J54" i="12"/>
  <c r="I63" i="12"/>
  <c r="J63" i="12"/>
  <c r="I35" i="12"/>
  <c r="J35" i="12"/>
  <c r="I42" i="12"/>
  <c r="J42" i="12"/>
  <c r="I19" i="12"/>
  <c r="J19" i="12"/>
  <c r="J18" i="12"/>
  <c r="I18" i="12"/>
  <c r="I5" i="12"/>
  <c r="J5" i="12"/>
  <c r="I58" i="12"/>
  <c r="J58" i="12"/>
  <c r="I31" i="12"/>
  <c r="J31" i="12"/>
  <c r="I33" i="12"/>
  <c r="J33" i="12"/>
  <c r="J27" i="12"/>
  <c r="I27" i="12"/>
  <c r="I48" i="12"/>
  <c r="J48" i="12"/>
  <c r="I39" i="12"/>
  <c r="J39" i="12"/>
  <c r="J44" i="12"/>
  <c r="I44" i="12"/>
  <c r="I66" i="12"/>
  <c r="J66" i="12"/>
  <c r="J25" i="12"/>
  <c r="I25" i="12"/>
  <c r="I17" i="12"/>
  <c r="J17" i="12"/>
  <c r="I9" i="12"/>
  <c r="J9" i="12"/>
  <c r="I62" i="12"/>
  <c r="J62" i="12"/>
  <c r="I45" i="12"/>
  <c r="J45" i="12"/>
  <c r="I26" i="12"/>
  <c r="J26" i="12"/>
  <c r="J51" i="12"/>
  <c r="I51" i="12"/>
  <c r="I56" i="12"/>
  <c r="J56" i="12"/>
  <c r="J47" i="12"/>
  <c r="I47" i="12"/>
  <c r="I60" i="12"/>
  <c r="J60" i="12"/>
  <c r="I53" i="12"/>
  <c r="J53" i="12"/>
  <c r="I20" i="12"/>
  <c r="J20" i="12"/>
  <c r="J3" i="12"/>
  <c r="I34" i="12"/>
  <c r="J34" i="12"/>
  <c r="J61" i="12"/>
  <c r="I61" i="12"/>
  <c r="I36" i="12"/>
  <c r="J36" i="12"/>
  <c r="J11" i="12"/>
  <c r="I11" i="12"/>
  <c r="J16" i="12"/>
  <c r="I16" i="12"/>
  <c r="J8" i="12"/>
  <c r="I8" i="12"/>
  <c r="J64" i="12"/>
  <c r="I64" i="12"/>
  <c r="I41" i="12"/>
  <c r="J41" i="12"/>
  <c r="I49" i="12"/>
  <c r="J49" i="12"/>
  <c r="I7" i="12"/>
  <c r="J7" i="12"/>
  <c r="I37" i="12"/>
  <c r="J37" i="12"/>
  <c r="I21" i="12"/>
  <c r="J21" i="12"/>
  <c r="I52" i="12"/>
  <c r="J52" i="12"/>
  <c r="O3" i="12" l="1"/>
  <c r="Q3" i="12" s="1"/>
  <c r="V3" i="12"/>
  <c r="F4" i="3"/>
  <c r="O35" i="12"/>
  <c r="L35" i="12" s="1"/>
  <c r="O60" i="12"/>
  <c r="Q60" i="12" s="1"/>
  <c r="O30" i="12"/>
  <c r="N30" i="12" s="1"/>
  <c r="O24" i="12"/>
  <c r="N24" i="12" s="1"/>
  <c r="O65" i="12"/>
  <c r="O46" i="12"/>
  <c r="O48" i="12"/>
  <c r="O56" i="12"/>
  <c r="O58" i="12"/>
  <c r="O38" i="12"/>
  <c r="O41" i="12"/>
  <c r="O37" i="12"/>
  <c r="O49" i="12"/>
  <c r="O55" i="12"/>
  <c r="O31" i="12"/>
  <c r="O40" i="12"/>
  <c r="O53" i="12"/>
  <c r="O27" i="12"/>
  <c r="O39" i="12"/>
  <c r="O34" i="12"/>
  <c r="O42" i="12"/>
  <c r="O57" i="12"/>
  <c r="O47" i="12"/>
  <c r="O29" i="12"/>
  <c r="O54" i="12"/>
  <c r="O59" i="12"/>
  <c r="O51" i="12"/>
  <c r="V23" i="12"/>
  <c r="V32" i="12"/>
  <c r="V40" i="12"/>
  <c r="V48" i="12"/>
  <c r="V56" i="12"/>
  <c r="V64" i="12"/>
  <c r="V65" i="12"/>
  <c r="V52" i="12"/>
  <c r="V35" i="12"/>
  <c r="V43" i="12"/>
  <c r="V51" i="12"/>
  <c r="V59" i="12"/>
  <c r="V62" i="12"/>
  <c r="V24" i="12"/>
  <c r="V27" i="12"/>
  <c r="V30" i="12"/>
  <c r="V38" i="12"/>
  <c r="V46" i="12"/>
  <c r="V54" i="12"/>
  <c r="V33" i="12"/>
  <c r="V41" i="12"/>
  <c r="V49" i="12"/>
  <c r="V57" i="12"/>
  <c r="V60" i="12"/>
  <c r="V28" i="12"/>
  <c r="V36" i="12"/>
  <c r="V44" i="12"/>
  <c r="V25" i="12"/>
  <c r="V31" i="12"/>
  <c r="V39" i="12"/>
  <c r="V47" i="12"/>
  <c r="V55" i="12"/>
  <c r="V63" i="12"/>
  <c r="V34" i="12"/>
  <c r="V42" i="12"/>
  <c r="V50" i="12"/>
  <c r="V58" i="12"/>
  <c r="V66" i="12"/>
  <c r="V26" i="12"/>
  <c r="V29" i="12"/>
  <c r="V37" i="12"/>
  <c r="V45" i="12"/>
  <c r="V53" i="12"/>
  <c r="V61" i="12"/>
  <c r="O44" i="12"/>
  <c r="O28" i="12"/>
  <c r="O43" i="12"/>
  <c r="O23" i="12"/>
  <c r="O63" i="12"/>
  <c r="O33" i="12"/>
  <c r="O32" i="12"/>
  <c r="O52" i="12"/>
  <c r="O25" i="12"/>
  <c r="O45" i="12"/>
  <c r="O50" i="12"/>
  <c r="O36" i="12"/>
  <c r="O26" i="12"/>
  <c r="O62" i="12"/>
  <c r="O66" i="12"/>
  <c r="O64" i="12"/>
  <c r="O61" i="12"/>
  <c r="V20" i="12"/>
  <c r="V10" i="12"/>
  <c r="V9" i="12"/>
  <c r="V18" i="12"/>
  <c r="V22" i="12"/>
  <c r="V14" i="12"/>
  <c r="V13" i="12"/>
  <c r="V16" i="12"/>
  <c r="V6" i="12"/>
  <c r="V4" i="12"/>
  <c r="T4" i="12" s="1"/>
  <c r="V17" i="12"/>
  <c r="V7" i="12"/>
  <c r="V8" i="12"/>
  <c r="V21" i="12"/>
  <c r="V11" i="12"/>
  <c r="V12" i="12"/>
  <c r="V5" i="12"/>
  <c r="V15" i="12"/>
  <c r="V19" i="12"/>
  <c r="O15" i="12"/>
  <c r="O11" i="12"/>
  <c r="O12" i="12"/>
  <c r="O8" i="12"/>
  <c r="O19" i="12"/>
  <c r="O14" i="12"/>
  <c r="O5" i="12"/>
  <c r="O22" i="12"/>
  <c r="O4" i="12"/>
  <c r="N4" i="12" s="1"/>
  <c r="O20" i="12"/>
  <c r="O16" i="12"/>
  <c r="O9" i="12"/>
  <c r="O13" i="12"/>
  <c r="O17" i="12"/>
  <c r="O7" i="12"/>
  <c r="O21" i="12"/>
  <c r="O10" i="12"/>
  <c r="O6" i="12"/>
  <c r="O18" i="12"/>
  <c r="B7" i="3"/>
  <c r="D7" i="3" s="1"/>
  <c r="B18" i="3"/>
  <c r="D18" i="3" s="1"/>
  <c r="B8" i="3"/>
  <c r="D8" i="3" s="1"/>
  <c r="B16" i="3"/>
  <c r="D16" i="3" s="1"/>
  <c r="B5" i="3"/>
  <c r="D5" i="3" s="1"/>
  <c r="B11" i="3"/>
  <c r="D11" i="3" s="1"/>
  <c r="B17" i="3"/>
  <c r="D17" i="3" s="1"/>
  <c r="B10" i="3"/>
  <c r="D10" i="3" s="1"/>
  <c r="B6" i="3"/>
  <c r="B12" i="3"/>
  <c r="D12" i="3" s="1"/>
  <c r="B13" i="3"/>
  <c r="D13" i="3" s="1"/>
  <c r="B19" i="3"/>
  <c r="D19" i="3" s="1"/>
  <c r="B15" i="3"/>
  <c r="D15" i="3" s="1"/>
  <c r="B14" i="3"/>
  <c r="D14" i="3" s="1"/>
  <c r="B9" i="3"/>
  <c r="D9" i="3" s="1"/>
  <c r="P3" i="12" l="1"/>
  <c r="N3" i="12"/>
  <c r="M3" i="12"/>
  <c r="Q35" i="12"/>
  <c r="E14" i="3"/>
  <c r="F14" i="3"/>
  <c r="E11" i="3"/>
  <c r="F11" i="3"/>
  <c r="E15" i="3"/>
  <c r="F15" i="3"/>
  <c r="F5" i="3"/>
  <c r="E5" i="3"/>
  <c r="E17" i="3"/>
  <c r="F17" i="3"/>
  <c r="E12" i="3"/>
  <c r="F12" i="3"/>
  <c r="E19" i="3"/>
  <c r="F19" i="3"/>
  <c r="E13" i="3"/>
  <c r="F13" i="3"/>
  <c r="E7" i="3"/>
  <c r="F7" i="3"/>
  <c r="E9" i="3"/>
  <c r="F9" i="3"/>
  <c r="E16" i="3"/>
  <c r="F16" i="3"/>
  <c r="E8" i="3"/>
  <c r="F8" i="3"/>
  <c r="E18" i="3"/>
  <c r="F18" i="3"/>
  <c r="E10" i="3"/>
  <c r="F10" i="3"/>
  <c r="M60" i="12"/>
  <c r="P60" i="12"/>
  <c r="L60" i="12"/>
  <c r="N60" i="12"/>
  <c r="Q24" i="12"/>
  <c r="N35" i="12"/>
  <c r="P35" i="12"/>
  <c r="M35" i="12"/>
  <c r="P30" i="12"/>
  <c r="M30" i="12"/>
  <c r="Q30" i="12"/>
  <c r="P24" i="12"/>
  <c r="M24" i="12"/>
  <c r="P64" i="12"/>
  <c r="N64" i="12"/>
  <c r="Q64" i="12"/>
  <c r="M64" i="12"/>
  <c r="L64" i="12"/>
  <c r="P52" i="12"/>
  <c r="M52" i="12"/>
  <c r="N52" i="12"/>
  <c r="Q52" i="12"/>
  <c r="L52" i="12"/>
  <c r="N44" i="12"/>
  <c r="L44" i="12"/>
  <c r="M44" i="12"/>
  <c r="Q44" i="12"/>
  <c r="P44" i="12"/>
  <c r="U66" i="12"/>
  <c r="X66" i="12"/>
  <c r="S66" i="12"/>
  <c r="T66" i="12"/>
  <c r="W66" i="12"/>
  <c r="S39" i="12"/>
  <c r="T39" i="12"/>
  <c r="U39" i="12"/>
  <c r="X39" i="12"/>
  <c r="W39" i="12"/>
  <c r="W49" i="12"/>
  <c r="U49" i="12"/>
  <c r="S49" i="12"/>
  <c r="X49" i="12"/>
  <c r="T49" i="12"/>
  <c r="U24" i="12"/>
  <c r="T24" i="12"/>
  <c r="W24" i="12"/>
  <c r="X24" i="12"/>
  <c r="U64" i="12"/>
  <c r="W64" i="12"/>
  <c r="X64" i="12"/>
  <c r="S64" i="12"/>
  <c r="T64" i="12"/>
  <c r="L54" i="12"/>
  <c r="N54" i="12"/>
  <c r="Q54" i="12"/>
  <c r="M54" i="12"/>
  <c r="P54" i="12"/>
  <c r="P53" i="12"/>
  <c r="Q53" i="12"/>
  <c r="N53" i="12"/>
  <c r="L53" i="12"/>
  <c r="M53" i="12"/>
  <c r="L58" i="12"/>
  <c r="P58" i="12"/>
  <c r="Q58" i="12"/>
  <c r="M58" i="12"/>
  <c r="N58" i="12"/>
  <c r="L66" i="12"/>
  <c r="M66" i="12"/>
  <c r="N66" i="12"/>
  <c r="P66" i="12"/>
  <c r="Q66" i="12"/>
  <c r="U3" i="12"/>
  <c r="T3" i="12"/>
  <c r="W3" i="12"/>
  <c r="U58" i="12"/>
  <c r="X58" i="12"/>
  <c r="S58" i="12"/>
  <c r="T58" i="12"/>
  <c r="W58" i="12"/>
  <c r="S31" i="12"/>
  <c r="X31" i="12"/>
  <c r="T31" i="12"/>
  <c r="W31" i="12"/>
  <c r="U31" i="12"/>
  <c r="W41" i="12"/>
  <c r="X41" i="12"/>
  <c r="U41" i="12"/>
  <c r="T41" i="12"/>
  <c r="S41" i="12"/>
  <c r="U62" i="12"/>
  <c r="S62" i="12"/>
  <c r="T62" i="12"/>
  <c r="W62" i="12"/>
  <c r="X62" i="12"/>
  <c r="U56" i="12"/>
  <c r="W56" i="12"/>
  <c r="X56" i="12"/>
  <c r="S56" i="12"/>
  <c r="T56" i="12"/>
  <c r="P29" i="12"/>
  <c r="M29" i="12"/>
  <c r="Q29" i="12"/>
  <c r="N29" i="12"/>
  <c r="N40" i="12"/>
  <c r="M40" i="12"/>
  <c r="L40" i="12"/>
  <c r="P40" i="12"/>
  <c r="Q40" i="12"/>
  <c r="P56" i="12"/>
  <c r="M56" i="12"/>
  <c r="N56" i="12"/>
  <c r="Q56" i="12"/>
  <c r="L56" i="12"/>
  <c r="W61" i="12"/>
  <c r="X61" i="12"/>
  <c r="T61" i="12"/>
  <c r="S61" i="12"/>
  <c r="U61" i="12"/>
  <c r="Q31" i="12"/>
  <c r="M31" i="12"/>
  <c r="P31" i="12"/>
  <c r="N31" i="12"/>
  <c r="N48" i="12"/>
  <c r="L48" i="12"/>
  <c r="M48" i="12"/>
  <c r="Q48" i="12"/>
  <c r="P48" i="12"/>
  <c r="L46" i="12"/>
  <c r="Q46" i="12"/>
  <c r="M46" i="12"/>
  <c r="N46" i="12"/>
  <c r="P46" i="12"/>
  <c r="U46" i="12"/>
  <c r="S46" i="12"/>
  <c r="T46" i="12"/>
  <c r="W46" i="12"/>
  <c r="X46" i="12"/>
  <c r="L65" i="12"/>
  <c r="Q65" i="12"/>
  <c r="P65" i="12"/>
  <c r="M65" i="12"/>
  <c r="N65" i="12"/>
  <c r="W25" i="12"/>
  <c r="T25" i="12"/>
  <c r="X25" i="12"/>
  <c r="U25" i="12"/>
  <c r="S59" i="12"/>
  <c r="U59" i="12"/>
  <c r="T59" i="12"/>
  <c r="X59" i="12"/>
  <c r="W59" i="12"/>
  <c r="P33" i="12"/>
  <c r="Q33" i="12"/>
  <c r="M33" i="12"/>
  <c r="L33" i="12"/>
  <c r="N33" i="12"/>
  <c r="U42" i="12"/>
  <c r="X42" i="12"/>
  <c r="S42" i="12"/>
  <c r="T42" i="12"/>
  <c r="W42" i="12"/>
  <c r="U54" i="12"/>
  <c r="S54" i="12"/>
  <c r="T54" i="12"/>
  <c r="W54" i="12"/>
  <c r="X54" i="12"/>
  <c r="U40" i="12"/>
  <c r="W40" i="12"/>
  <c r="X40" i="12"/>
  <c r="S40" i="12"/>
  <c r="T40" i="12"/>
  <c r="N55" i="12"/>
  <c r="P55" i="12"/>
  <c r="L55" i="12"/>
  <c r="M55" i="12"/>
  <c r="Q55" i="12"/>
  <c r="N36" i="12"/>
  <c r="M36" i="12"/>
  <c r="Q36" i="12"/>
  <c r="L36" i="12"/>
  <c r="P36" i="12"/>
  <c r="N63" i="12"/>
  <c r="L63" i="12"/>
  <c r="M63" i="12"/>
  <c r="P63" i="12"/>
  <c r="Q63" i="12"/>
  <c r="W45" i="12"/>
  <c r="X45" i="12"/>
  <c r="U45" i="12"/>
  <c r="T45" i="12"/>
  <c r="S45" i="12"/>
  <c r="U34" i="12"/>
  <c r="X34" i="12"/>
  <c r="S34" i="12"/>
  <c r="T34" i="12"/>
  <c r="W34" i="12"/>
  <c r="U36" i="12"/>
  <c r="S36" i="12"/>
  <c r="T36" i="12"/>
  <c r="W36" i="12"/>
  <c r="X36" i="12"/>
  <c r="S43" i="12"/>
  <c r="T43" i="12"/>
  <c r="U43" i="12"/>
  <c r="X43" i="12"/>
  <c r="W43" i="12"/>
  <c r="U32" i="12"/>
  <c r="W32" i="12"/>
  <c r="X32" i="12"/>
  <c r="S32" i="12"/>
  <c r="T32" i="12"/>
  <c r="L42" i="12"/>
  <c r="P42" i="12"/>
  <c r="Q42" i="12"/>
  <c r="M42" i="12"/>
  <c r="N42" i="12"/>
  <c r="P49" i="12"/>
  <c r="L49" i="12"/>
  <c r="Q49" i="12"/>
  <c r="M49" i="12"/>
  <c r="N49" i="12"/>
  <c r="L50" i="12"/>
  <c r="P50" i="12"/>
  <c r="Q50" i="12"/>
  <c r="M50" i="12"/>
  <c r="N50" i="12"/>
  <c r="P23" i="12"/>
  <c r="M23" i="12"/>
  <c r="N23" i="12"/>
  <c r="Q23" i="12"/>
  <c r="W37" i="12"/>
  <c r="X37" i="12"/>
  <c r="U37" i="12"/>
  <c r="T37" i="12"/>
  <c r="S37" i="12"/>
  <c r="S63" i="12"/>
  <c r="X63" i="12"/>
  <c r="W63" i="12"/>
  <c r="U63" i="12"/>
  <c r="T63" i="12"/>
  <c r="U28" i="12"/>
  <c r="T28" i="12"/>
  <c r="W28" i="12"/>
  <c r="X28" i="12"/>
  <c r="U38" i="12"/>
  <c r="S38" i="12"/>
  <c r="T38" i="12"/>
  <c r="W38" i="12"/>
  <c r="X38" i="12"/>
  <c r="S35" i="12"/>
  <c r="W35" i="12"/>
  <c r="T35" i="12"/>
  <c r="X35" i="12"/>
  <c r="U35" i="12"/>
  <c r="X23" i="12"/>
  <c r="W23" i="12"/>
  <c r="U23" i="12"/>
  <c r="T23" i="12"/>
  <c r="L34" i="12"/>
  <c r="Q34" i="12"/>
  <c r="M34" i="12"/>
  <c r="N34" i="12"/>
  <c r="P34" i="12"/>
  <c r="P37" i="12"/>
  <c r="L37" i="12"/>
  <c r="Q37" i="12"/>
  <c r="N37" i="12"/>
  <c r="M37" i="12"/>
  <c r="P26" i="12"/>
  <c r="Q26" i="12"/>
  <c r="M26" i="12"/>
  <c r="N26" i="12"/>
  <c r="P57" i="12"/>
  <c r="N57" i="12"/>
  <c r="L57" i="12"/>
  <c r="M57" i="12"/>
  <c r="Q57" i="12"/>
  <c r="L43" i="12"/>
  <c r="M43" i="12"/>
  <c r="N43" i="12"/>
  <c r="Q43" i="12"/>
  <c r="P43" i="12"/>
  <c r="U30" i="12"/>
  <c r="S30" i="12"/>
  <c r="T30" i="12"/>
  <c r="W30" i="12"/>
  <c r="X30" i="12"/>
  <c r="L39" i="12"/>
  <c r="P39" i="12"/>
  <c r="M39" i="12"/>
  <c r="N39" i="12"/>
  <c r="Q39" i="12"/>
  <c r="P41" i="12"/>
  <c r="N41" i="12"/>
  <c r="M41" i="12"/>
  <c r="L41" i="12"/>
  <c r="Q41" i="12"/>
  <c r="L62" i="12"/>
  <c r="M62" i="12"/>
  <c r="N62" i="12"/>
  <c r="P62" i="12"/>
  <c r="Q62" i="12"/>
  <c r="N32" i="12"/>
  <c r="L32" i="12"/>
  <c r="M32" i="12"/>
  <c r="Q32" i="12"/>
  <c r="P32" i="12"/>
  <c r="U50" i="12"/>
  <c r="X50" i="12"/>
  <c r="S50" i="12"/>
  <c r="T50" i="12"/>
  <c r="W50" i="12"/>
  <c r="W33" i="12"/>
  <c r="S33" i="12"/>
  <c r="U33" i="12"/>
  <c r="X33" i="12"/>
  <c r="T33" i="12"/>
  <c r="U48" i="12"/>
  <c r="W48" i="12"/>
  <c r="X48" i="12"/>
  <c r="S48" i="12"/>
  <c r="T48" i="12"/>
  <c r="N47" i="12"/>
  <c r="L47" i="12"/>
  <c r="M47" i="12"/>
  <c r="Q47" i="12"/>
  <c r="P47" i="12"/>
  <c r="W53" i="12"/>
  <c r="X53" i="12"/>
  <c r="T53" i="12"/>
  <c r="U53" i="12"/>
  <c r="S53" i="12"/>
  <c r="U44" i="12"/>
  <c r="S44" i="12"/>
  <c r="T44" i="12"/>
  <c r="W44" i="12"/>
  <c r="X44" i="12"/>
  <c r="S51" i="12"/>
  <c r="W51" i="12"/>
  <c r="U51" i="12"/>
  <c r="T51" i="12"/>
  <c r="X51" i="12"/>
  <c r="P45" i="12"/>
  <c r="M45" i="12"/>
  <c r="N45" i="12"/>
  <c r="L45" i="12"/>
  <c r="Q45" i="12"/>
  <c r="W29" i="12"/>
  <c r="T29" i="12"/>
  <c r="X29" i="12"/>
  <c r="U29" i="12"/>
  <c r="S55" i="12"/>
  <c r="U55" i="12"/>
  <c r="T55" i="12"/>
  <c r="X55" i="12"/>
  <c r="W55" i="12"/>
  <c r="U60" i="12"/>
  <c r="T60" i="12"/>
  <c r="S60" i="12"/>
  <c r="W60" i="12"/>
  <c r="X60" i="12"/>
  <c r="U52" i="12"/>
  <c r="T52" i="12"/>
  <c r="S52" i="12"/>
  <c r="W52" i="12"/>
  <c r="X52" i="12"/>
  <c r="N51" i="12"/>
  <c r="M51" i="12"/>
  <c r="L51" i="12"/>
  <c r="Q51" i="12"/>
  <c r="P51" i="12"/>
  <c r="L61" i="12"/>
  <c r="P61" i="12"/>
  <c r="Q61" i="12"/>
  <c r="M61" i="12"/>
  <c r="N61" i="12"/>
  <c r="P25" i="12"/>
  <c r="N25" i="12"/>
  <c r="M25" i="12"/>
  <c r="Q25" i="12"/>
  <c r="N28" i="12"/>
  <c r="Q28" i="12"/>
  <c r="M28" i="12"/>
  <c r="P28" i="12"/>
  <c r="U26" i="12"/>
  <c r="W26" i="12"/>
  <c r="X26" i="12"/>
  <c r="T26" i="12"/>
  <c r="S47" i="12"/>
  <c r="X47" i="12"/>
  <c r="U47" i="12"/>
  <c r="W47" i="12"/>
  <c r="T47" i="12"/>
  <c r="W57" i="12"/>
  <c r="X57" i="12"/>
  <c r="T57" i="12"/>
  <c r="S57" i="12"/>
  <c r="U57" i="12"/>
  <c r="U27" i="12"/>
  <c r="X27" i="12"/>
  <c r="W27" i="12"/>
  <c r="T27" i="12"/>
  <c r="W65" i="12"/>
  <c r="S65" i="12"/>
  <c r="U65" i="12"/>
  <c r="X65" i="12"/>
  <c r="T65" i="12"/>
  <c r="N59" i="12"/>
  <c r="L59" i="12"/>
  <c r="M59" i="12"/>
  <c r="P59" i="12"/>
  <c r="Q59" i="12"/>
  <c r="N27" i="12"/>
  <c r="Q27" i="12"/>
  <c r="P27" i="12"/>
  <c r="M27" i="12"/>
  <c r="L38" i="12"/>
  <c r="Q38" i="12"/>
  <c r="M38" i="12"/>
  <c r="N38" i="12"/>
  <c r="P38" i="12"/>
  <c r="P6" i="12"/>
  <c r="M6" i="12"/>
  <c r="Q6" i="12"/>
  <c r="N6" i="12"/>
  <c r="N20" i="12"/>
  <c r="M20" i="12"/>
  <c r="Q20" i="12"/>
  <c r="P20" i="12"/>
  <c r="P11" i="12"/>
  <c r="N11" i="12"/>
  <c r="Q11" i="12"/>
  <c r="M11" i="12"/>
  <c r="T21" i="12"/>
  <c r="W21" i="12"/>
  <c r="X21" i="12"/>
  <c r="U21" i="12"/>
  <c r="W14" i="12"/>
  <c r="X14" i="12"/>
  <c r="T14" i="12"/>
  <c r="U14" i="12"/>
  <c r="Q18" i="12"/>
  <c r="M18" i="12"/>
  <c r="N18" i="12"/>
  <c r="P18" i="12"/>
  <c r="X13" i="12"/>
  <c r="T13" i="12"/>
  <c r="W13" i="12"/>
  <c r="U13" i="12"/>
  <c r="N10" i="12"/>
  <c r="P10" i="12"/>
  <c r="Q10" i="12"/>
  <c r="M10" i="12"/>
  <c r="M4" i="12"/>
  <c r="Q4" i="12"/>
  <c r="P4" i="12"/>
  <c r="M15" i="12"/>
  <c r="Q15" i="12"/>
  <c r="N15" i="12"/>
  <c r="P15" i="12"/>
  <c r="X8" i="12"/>
  <c r="U8" i="12"/>
  <c r="T8" i="12"/>
  <c r="W8" i="12"/>
  <c r="X22" i="12"/>
  <c r="U22" i="12"/>
  <c r="T22" i="12"/>
  <c r="W22" i="12"/>
  <c r="P21" i="12"/>
  <c r="M21" i="12"/>
  <c r="N21" i="12"/>
  <c r="Q21" i="12"/>
  <c r="P22" i="12"/>
  <c r="M22" i="12"/>
  <c r="Q22" i="12"/>
  <c r="N22" i="12"/>
  <c r="W7" i="12"/>
  <c r="U7" i="12"/>
  <c r="T7" i="12"/>
  <c r="X7" i="12"/>
  <c r="X18" i="12"/>
  <c r="W18" i="12"/>
  <c r="U18" i="12"/>
  <c r="T18" i="12"/>
  <c r="X11" i="12"/>
  <c r="T11" i="12"/>
  <c r="W11" i="12"/>
  <c r="U11" i="12"/>
  <c r="M7" i="12"/>
  <c r="N7" i="12"/>
  <c r="P7" i="12"/>
  <c r="Q7" i="12"/>
  <c r="Q5" i="12"/>
  <c r="P5" i="12"/>
  <c r="N5" i="12"/>
  <c r="M5" i="12"/>
  <c r="T19" i="12"/>
  <c r="X19" i="12"/>
  <c r="W19" i="12"/>
  <c r="U19" i="12"/>
  <c r="W17" i="12"/>
  <c r="U17" i="12"/>
  <c r="T17" i="12"/>
  <c r="X17" i="12"/>
  <c r="U9" i="12"/>
  <c r="X9" i="12"/>
  <c r="T9" i="12"/>
  <c r="W9" i="12"/>
  <c r="Q17" i="12"/>
  <c r="P17" i="12"/>
  <c r="M17" i="12"/>
  <c r="N17" i="12"/>
  <c r="M14" i="12"/>
  <c r="Q14" i="12"/>
  <c r="P14" i="12"/>
  <c r="N14" i="12"/>
  <c r="W15" i="12"/>
  <c r="T15" i="12"/>
  <c r="U15" i="12"/>
  <c r="X15" i="12"/>
  <c r="X4" i="12"/>
  <c r="U4" i="12"/>
  <c r="W4" i="12"/>
  <c r="X3" i="12"/>
  <c r="Q16" i="12"/>
  <c r="P16" i="12"/>
  <c r="M16" i="12"/>
  <c r="N16" i="12"/>
  <c r="P19" i="12"/>
  <c r="Q19" i="12"/>
  <c r="M19" i="12"/>
  <c r="N19" i="12"/>
  <c r="T5" i="12"/>
  <c r="W5" i="12"/>
  <c r="U5" i="12"/>
  <c r="X5" i="12"/>
  <c r="X6" i="12"/>
  <c r="W6" i="12"/>
  <c r="T6" i="12"/>
  <c r="U6" i="12"/>
  <c r="X10" i="12"/>
  <c r="W10" i="12"/>
  <c r="U10" i="12"/>
  <c r="T10" i="12"/>
  <c r="P12" i="12"/>
  <c r="M12" i="12"/>
  <c r="N12" i="12"/>
  <c r="Q12" i="12"/>
  <c r="M13" i="12"/>
  <c r="P13" i="12"/>
  <c r="Q13" i="12"/>
  <c r="N13" i="12"/>
  <c r="M9" i="12"/>
  <c r="N9" i="12"/>
  <c r="P9" i="12"/>
  <c r="Q9" i="12"/>
  <c r="P8" i="12"/>
  <c r="Q8" i="12"/>
  <c r="M8" i="12"/>
  <c r="N8" i="12"/>
  <c r="X12" i="12"/>
  <c r="W12" i="12"/>
  <c r="U12" i="12"/>
  <c r="T12" i="12"/>
  <c r="U16" i="12"/>
  <c r="W16" i="12"/>
  <c r="X16" i="12"/>
  <c r="T16" i="12"/>
  <c r="T20" i="12"/>
  <c r="U20" i="12"/>
  <c r="X20" i="12"/>
  <c r="W20" i="12"/>
  <c r="L3" i="12" l="1"/>
  <c r="L31" i="12"/>
  <c r="L28" i="12"/>
  <c r="S26" i="12"/>
  <c r="L27" i="12"/>
  <c r="L29" i="12"/>
  <c r="S23" i="12"/>
  <c r="L24" i="12"/>
  <c r="L30" i="12"/>
  <c r="S25" i="12"/>
  <c r="S27" i="12"/>
  <c r="S24" i="12"/>
  <c r="L26" i="12"/>
  <c r="S29" i="12"/>
  <c r="S28" i="12"/>
  <c r="L25" i="12"/>
  <c r="L23" i="12"/>
  <c r="S8" i="12"/>
  <c r="S16" i="12"/>
  <c r="S9" i="12"/>
  <c r="S17" i="12"/>
  <c r="S10" i="12"/>
  <c r="S18" i="12"/>
  <c r="S19" i="12"/>
  <c r="S11" i="12"/>
  <c r="S4" i="12"/>
  <c r="S12" i="12"/>
  <c r="S20" i="12"/>
  <c r="S5" i="12"/>
  <c r="S13" i="12"/>
  <c r="S21" i="12"/>
  <c r="S6" i="12"/>
  <c r="S14" i="12"/>
  <c r="S22" i="12"/>
  <c r="S7" i="12"/>
  <c r="S15" i="12"/>
  <c r="S3" i="12"/>
  <c r="L9" i="12"/>
  <c r="L17" i="12"/>
  <c r="L4" i="12"/>
  <c r="L8" i="12"/>
  <c r="L10" i="12"/>
  <c r="L18" i="12"/>
  <c r="L12" i="12"/>
  <c r="L11" i="12"/>
  <c r="L19" i="12"/>
  <c r="L20" i="12"/>
  <c r="L5" i="12"/>
  <c r="L13" i="12"/>
  <c r="L21" i="12"/>
  <c r="L15" i="12"/>
  <c r="L6" i="12"/>
  <c r="L14" i="12"/>
  <c r="L22" i="12"/>
  <c r="L7" i="12"/>
  <c r="L16" i="12"/>
  <c r="H9" i="3"/>
  <c r="G9" i="3"/>
  <c r="G7" i="3"/>
  <c r="H7" i="3"/>
  <c r="H8" i="3"/>
  <c r="G8" i="3"/>
  <c r="H5" i="3"/>
  <c r="G5" i="3"/>
  <c r="H15" i="3"/>
  <c r="G15" i="3"/>
  <c r="H14" i="3"/>
  <c r="G14" i="3"/>
  <c r="G11" i="3"/>
  <c r="H11" i="3"/>
  <c r="H16" i="3"/>
  <c r="G16" i="3"/>
  <c r="G4" i="3"/>
  <c r="H17" i="3"/>
  <c r="G12" i="3"/>
  <c r="H10" i="3"/>
  <c r="H18" i="3"/>
  <c r="G13" i="3"/>
  <c r="G19" i="3"/>
  <c r="D6" i="3"/>
  <c r="E6" i="3" l="1"/>
  <c r="F6" i="3"/>
  <c r="H6" i="3" s="1"/>
  <c r="H19" i="3"/>
  <c r="H12" i="3"/>
  <c r="H4" i="3"/>
  <c r="H13" i="3"/>
  <c r="G17" i="3"/>
  <c r="G10" i="3"/>
  <c r="G18" i="3"/>
  <c r="P15" i="3" l="1"/>
  <c r="Q15" i="3" s="1"/>
  <c r="P5" i="3"/>
  <c r="Q5" i="3" s="1"/>
  <c r="P9" i="3"/>
  <c r="O9" i="3" s="1"/>
  <c r="P10" i="3"/>
  <c r="O10" i="3" s="1"/>
  <c r="G6" i="3"/>
  <c r="K11" i="3" s="1"/>
  <c r="L11" i="3" s="1"/>
  <c r="P6" i="3"/>
  <c r="Q6" i="3" s="1"/>
  <c r="P7" i="3"/>
  <c r="R7" i="3" s="1"/>
  <c r="P12" i="3"/>
  <c r="Q12" i="3" s="1"/>
  <c r="P8" i="3"/>
  <c r="R8" i="3" s="1"/>
  <c r="P4" i="3"/>
  <c r="Q4" i="3" s="1"/>
  <c r="P19" i="3"/>
  <c r="R19" i="3" s="1"/>
  <c r="P11" i="3"/>
  <c r="R11" i="3" s="1"/>
  <c r="P14" i="3"/>
  <c r="Q14" i="3" s="1"/>
  <c r="P18" i="3"/>
  <c r="O18" i="3" s="1"/>
  <c r="P17" i="3"/>
  <c r="O17" i="3" s="1"/>
  <c r="P13" i="3"/>
  <c r="P16" i="3"/>
  <c r="O16" i="3" s="1"/>
  <c r="O15" i="3" l="1"/>
  <c r="R15" i="3"/>
  <c r="R5" i="3"/>
  <c r="R9" i="3"/>
  <c r="Q8" i="3"/>
  <c r="Q9" i="3"/>
  <c r="K7" i="3"/>
  <c r="M7" i="3" s="1"/>
  <c r="R10" i="3"/>
  <c r="K19" i="3"/>
  <c r="J19" i="3" s="1"/>
  <c r="K17" i="3"/>
  <c r="L17" i="3" s="1"/>
  <c r="K16" i="3"/>
  <c r="J16" i="3" s="1"/>
  <c r="Q7" i="3"/>
  <c r="K5" i="3"/>
  <c r="M5" i="3" s="1"/>
  <c r="K4" i="3"/>
  <c r="M4" i="3" s="1"/>
  <c r="R18" i="3"/>
  <c r="K12" i="3"/>
  <c r="L12" i="3" s="1"/>
  <c r="Q18" i="3"/>
  <c r="O11" i="3"/>
  <c r="K8" i="3"/>
  <c r="L8" i="3" s="1"/>
  <c r="K9" i="3"/>
  <c r="L9" i="3" s="1"/>
  <c r="R14" i="3"/>
  <c r="R6" i="3"/>
  <c r="K18" i="3"/>
  <c r="J18" i="3" s="1"/>
  <c r="K13" i="3"/>
  <c r="M13" i="3" s="1"/>
  <c r="Q10" i="3"/>
  <c r="K15" i="3"/>
  <c r="M15" i="3" s="1"/>
  <c r="K10" i="3"/>
  <c r="M10" i="3" s="1"/>
  <c r="O14" i="3"/>
  <c r="Q11" i="3"/>
  <c r="R12" i="3"/>
  <c r="O12" i="3"/>
  <c r="Q17" i="3"/>
  <c r="R17" i="3"/>
  <c r="K6" i="3"/>
  <c r="M6" i="3" s="1"/>
  <c r="K14" i="3"/>
  <c r="M14" i="3" s="1"/>
  <c r="R4" i="3"/>
  <c r="R16" i="3"/>
  <c r="Q16" i="3"/>
  <c r="Q19" i="3"/>
  <c r="O19" i="3"/>
  <c r="M11" i="3"/>
  <c r="Q13" i="3"/>
  <c r="R13" i="3"/>
  <c r="O13" i="3"/>
  <c r="L19" i="3" l="1"/>
  <c r="L18" i="3"/>
  <c r="M12" i="3"/>
  <c r="M19" i="3"/>
  <c r="L7" i="3"/>
  <c r="L5" i="3"/>
  <c r="J15" i="3"/>
  <c r="J17" i="3"/>
  <c r="M17" i="3"/>
  <c r="L16" i="3"/>
  <c r="L6" i="3"/>
  <c r="L15" i="3"/>
  <c r="M16" i="3"/>
  <c r="M18" i="3"/>
  <c r="O8" i="3"/>
  <c r="L4" i="3"/>
  <c r="M9" i="3"/>
  <c r="M8" i="3"/>
  <c r="L10" i="3"/>
  <c r="J13" i="3"/>
  <c r="L13" i="3"/>
  <c r="J14" i="3"/>
  <c r="L14" i="3"/>
  <c r="O6" i="3"/>
  <c r="O4" i="3"/>
  <c r="O5" i="3"/>
  <c r="O7" i="3"/>
  <c r="J9" i="3" l="1"/>
  <c r="J8" i="3"/>
  <c r="J6" i="3"/>
  <c r="J5" i="3"/>
  <c r="J4" i="3"/>
  <c r="J11" i="3"/>
  <c r="J12" i="3"/>
  <c r="J10" i="3"/>
  <c r="J7" i="3"/>
</calcChain>
</file>

<file path=xl/sharedStrings.xml><?xml version="1.0" encoding="utf-8"?>
<sst xmlns="http://schemas.openxmlformats.org/spreadsheetml/2006/main" count="465" uniqueCount="129">
  <si>
    <t>氏名</t>
    <rPh sb="0" eb="2">
      <t>シメイ</t>
    </rPh>
    <phoneticPr fontId="1"/>
  </si>
  <si>
    <t>性別</t>
    <rPh sb="0" eb="2">
      <t>セイベツ</t>
    </rPh>
    <phoneticPr fontId="1"/>
  </si>
  <si>
    <t>チーム</t>
    <phoneticPr fontId="1"/>
  </si>
  <si>
    <t>チーム合計</t>
    <rPh sb="3" eb="5">
      <t>ゴウケイ</t>
    </rPh>
    <phoneticPr fontId="1"/>
  </si>
  <si>
    <t>個人合計</t>
    <rPh sb="0" eb="2">
      <t>コジン</t>
    </rPh>
    <rPh sb="2" eb="4">
      <t>ゴウケイ</t>
    </rPh>
    <phoneticPr fontId="1"/>
  </si>
  <si>
    <t>チーム名</t>
    <rPh sb="3" eb="4">
      <t>メイ</t>
    </rPh>
    <phoneticPr fontId="1"/>
  </si>
  <si>
    <t>総本数</t>
    <rPh sb="0" eb="1">
      <t>ソウ</t>
    </rPh>
    <rPh sb="1" eb="3">
      <t>ホンスウ</t>
    </rPh>
    <phoneticPr fontId="1"/>
  </si>
  <si>
    <t>大前</t>
    <rPh sb="0" eb="2">
      <t>オオマエ</t>
    </rPh>
    <phoneticPr fontId="1"/>
  </si>
  <si>
    <t>２的</t>
    <rPh sb="1" eb="2">
      <t>テキ</t>
    </rPh>
    <phoneticPr fontId="1"/>
  </si>
  <si>
    <t>３的</t>
    <rPh sb="1" eb="2">
      <t>テキ</t>
    </rPh>
    <phoneticPr fontId="1"/>
  </si>
  <si>
    <t>落ち</t>
    <rPh sb="0" eb="1">
      <t>オ</t>
    </rPh>
    <phoneticPr fontId="1"/>
  </si>
  <si>
    <t>順位</t>
    <rPh sb="0" eb="2">
      <t>ジュンイ</t>
    </rPh>
    <phoneticPr fontId="1"/>
  </si>
  <si>
    <t>総本数</t>
    <rPh sb="0" eb="1">
      <t>ソウ</t>
    </rPh>
    <rPh sb="1" eb="3">
      <t>ホンスウ</t>
    </rPh>
    <phoneticPr fontId="1"/>
  </si>
  <si>
    <t>チーム名</t>
    <rPh sb="3" eb="4">
      <t>メイ</t>
    </rPh>
    <phoneticPr fontId="1"/>
  </si>
  <si>
    <t>チーム成績</t>
    <rPh sb="3" eb="5">
      <t>セイセキ</t>
    </rPh>
    <phoneticPr fontId="1"/>
  </si>
  <si>
    <t>順位計算</t>
    <rPh sb="0" eb="2">
      <t>ジュンイケイサン2</t>
    </rPh>
    <phoneticPr fontId="1"/>
  </si>
  <si>
    <t>並び順位</t>
    <rPh sb="0" eb="1">
      <t>ナラ</t>
    </rPh>
    <rPh sb="2" eb="4">
      <t>ジュンイ</t>
    </rPh>
    <phoneticPr fontId="1"/>
  </si>
  <si>
    <t>表示順位</t>
    <rPh sb="0" eb="2">
      <t>ヒョウジ</t>
    </rPh>
    <rPh sb="2" eb="4">
      <t>ジュンイ</t>
    </rPh>
    <phoneticPr fontId="1"/>
  </si>
  <si>
    <t>No.</t>
    <phoneticPr fontId="1"/>
  </si>
  <si>
    <t>2立目 合計</t>
    <rPh sb="2" eb="3">
      <t>メ</t>
    </rPh>
    <rPh sb="4" eb="6">
      <t>ゴウケイ</t>
    </rPh>
    <phoneticPr fontId="1"/>
  </si>
  <si>
    <t>1立目 合計</t>
    <rPh sb="1" eb="2">
      <t>タチ</t>
    </rPh>
    <rPh sb="2" eb="3">
      <t>メ</t>
    </rPh>
    <rPh sb="4" eb="6">
      <t>ゴウケイ</t>
    </rPh>
    <phoneticPr fontId="1"/>
  </si>
  <si>
    <t>2立目 合計</t>
    <rPh sb="1" eb="2">
      <t>タチ</t>
    </rPh>
    <rPh sb="2" eb="3">
      <t>メ</t>
    </rPh>
    <rPh sb="4" eb="6">
      <t>ゴウケイ</t>
    </rPh>
    <phoneticPr fontId="1"/>
  </si>
  <si>
    <t>4射</t>
    <rPh sb="1" eb="2">
      <t>シャ</t>
    </rPh>
    <phoneticPr fontId="1"/>
  </si>
  <si>
    <t>3射</t>
  </si>
  <si>
    <t>3射</t>
    <phoneticPr fontId="1"/>
  </si>
  <si>
    <t>2射</t>
  </si>
  <si>
    <t>2射</t>
    <phoneticPr fontId="1"/>
  </si>
  <si>
    <t>1射</t>
  </si>
  <si>
    <t>1射</t>
    <phoneticPr fontId="1"/>
  </si>
  <si>
    <t>女</t>
  </si>
  <si>
    <t>男</t>
  </si>
  <si>
    <t>計算数</t>
    <rPh sb="0" eb="3">
      <t>ケイサンスウ</t>
    </rPh>
    <phoneticPr fontId="1"/>
  </si>
  <si>
    <t>個人順位用</t>
    <rPh sb="0" eb="5">
      <t>コジンジュンイヨウ</t>
    </rPh>
    <phoneticPr fontId="1"/>
  </si>
  <si>
    <t>個人順位表：男性</t>
    <rPh sb="0" eb="2">
      <t>コジン</t>
    </rPh>
    <rPh sb="6" eb="8">
      <t>ダンセイ</t>
    </rPh>
    <phoneticPr fontId="1"/>
  </si>
  <si>
    <t>個人順位表：女性</t>
    <rPh sb="0" eb="2">
      <t>コジン</t>
    </rPh>
    <rPh sb="6" eb="8">
      <t>ジョセイ</t>
    </rPh>
    <phoneticPr fontId="1"/>
  </si>
  <si>
    <t>性別</t>
    <rPh sb="0" eb="2">
      <t>セイベツ</t>
    </rPh>
    <phoneticPr fontId="1"/>
  </si>
  <si>
    <t>個人順位表：男女混合</t>
    <rPh sb="0" eb="2">
      <t>コジン</t>
    </rPh>
    <rPh sb="6" eb="8">
      <t>ダンジョ</t>
    </rPh>
    <rPh sb="8" eb="10">
      <t>コンゴウ</t>
    </rPh>
    <phoneticPr fontId="1"/>
  </si>
  <si>
    <t>西春日井A</t>
  </si>
  <si>
    <t>西春日井A</t>
    <phoneticPr fontId="1"/>
  </si>
  <si>
    <t>西春日井B</t>
  </si>
  <si>
    <t>西春日井B</t>
    <phoneticPr fontId="1"/>
  </si>
  <si>
    <t>春日井A</t>
  </si>
  <si>
    <t>春日井A</t>
    <phoneticPr fontId="1"/>
  </si>
  <si>
    <t>尾張旭A</t>
  </si>
  <si>
    <t>尾張旭A</t>
    <phoneticPr fontId="1"/>
  </si>
  <si>
    <t>尾張旭B</t>
  </si>
  <si>
    <t>尾張旭B</t>
    <phoneticPr fontId="1"/>
  </si>
  <si>
    <t>日進A</t>
  </si>
  <si>
    <t>日進A</t>
    <phoneticPr fontId="1"/>
  </si>
  <si>
    <t>日進B</t>
  </si>
  <si>
    <t>日進B</t>
    <phoneticPr fontId="1"/>
  </si>
  <si>
    <t>春日井B</t>
  </si>
  <si>
    <t>春日井B</t>
    <phoneticPr fontId="1"/>
  </si>
  <si>
    <t>長久手A</t>
  </si>
  <si>
    <t>長久手A</t>
    <phoneticPr fontId="1"/>
  </si>
  <si>
    <t>長久手B</t>
  </si>
  <si>
    <t>長久手B</t>
    <phoneticPr fontId="1"/>
  </si>
  <si>
    <t>豊明A</t>
  </si>
  <si>
    <t>豊明A</t>
    <phoneticPr fontId="1"/>
  </si>
  <si>
    <t>豊明B</t>
  </si>
  <si>
    <t>豊明B</t>
    <phoneticPr fontId="1"/>
  </si>
  <si>
    <t>野村 清美</t>
    <phoneticPr fontId="1"/>
  </si>
  <si>
    <t>加藤 崇文</t>
    <phoneticPr fontId="1"/>
  </si>
  <si>
    <t>谷口 弥生</t>
    <phoneticPr fontId="1"/>
  </si>
  <si>
    <t>森竹 結衣</t>
    <phoneticPr fontId="1"/>
  </si>
  <si>
    <t>遠藤 恵美子</t>
    <phoneticPr fontId="1"/>
  </si>
  <si>
    <t>伊藤 寿邦</t>
    <phoneticPr fontId="1"/>
  </si>
  <si>
    <t>山口 このみ</t>
    <phoneticPr fontId="1"/>
  </si>
  <si>
    <t>小林 都</t>
    <phoneticPr fontId="1"/>
  </si>
  <si>
    <t>片桐 志保</t>
    <phoneticPr fontId="1"/>
  </si>
  <si>
    <t>瀬山 博子</t>
    <phoneticPr fontId="1"/>
  </si>
  <si>
    <t>佃 弘美</t>
    <phoneticPr fontId="1"/>
  </si>
  <si>
    <t>加藤 広史</t>
    <phoneticPr fontId="1"/>
  </si>
  <si>
    <t>丹羽 泰生</t>
    <phoneticPr fontId="1"/>
  </si>
  <si>
    <t>大槻 成実</t>
    <phoneticPr fontId="1"/>
  </si>
  <si>
    <t>村瀬 沙織</t>
    <phoneticPr fontId="1"/>
  </si>
  <si>
    <t>加藤 忠人</t>
    <phoneticPr fontId="1"/>
  </si>
  <si>
    <t>北崎 良治</t>
    <phoneticPr fontId="1"/>
  </si>
  <si>
    <t>渡邉 由美子</t>
    <phoneticPr fontId="1"/>
  </si>
  <si>
    <t>荒川 花子</t>
    <phoneticPr fontId="1"/>
  </si>
  <si>
    <t>小川 久生</t>
    <phoneticPr fontId="1"/>
  </si>
  <si>
    <t>阿部 健二郞</t>
    <phoneticPr fontId="1"/>
  </si>
  <si>
    <t>玉野 正明</t>
    <phoneticPr fontId="1"/>
  </si>
  <si>
    <t>杉山 武</t>
    <phoneticPr fontId="1"/>
  </si>
  <si>
    <t>大竹 誠</t>
    <phoneticPr fontId="1"/>
  </si>
  <si>
    <t>阿知波 正</t>
    <phoneticPr fontId="1"/>
  </si>
  <si>
    <t>山田 英治</t>
    <phoneticPr fontId="1"/>
  </si>
  <si>
    <t>西尾 雅司</t>
    <phoneticPr fontId="1"/>
  </si>
  <si>
    <t>赤塚 正子</t>
    <phoneticPr fontId="1"/>
  </si>
  <si>
    <t>谷口 洋子</t>
    <phoneticPr fontId="1"/>
  </si>
  <si>
    <t>浅井 明美</t>
    <phoneticPr fontId="1"/>
  </si>
  <si>
    <t>三田村 静子</t>
    <phoneticPr fontId="1"/>
  </si>
  <si>
    <t>田中 沙紀子</t>
    <phoneticPr fontId="1"/>
  </si>
  <si>
    <t>新美 友治</t>
    <phoneticPr fontId="1"/>
  </si>
  <si>
    <t>高田 優子</t>
    <phoneticPr fontId="1"/>
  </si>
  <si>
    <t>窪田 達也</t>
    <phoneticPr fontId="1"/>
  </si>
  <si>
    <t>安達 初枝</t>
    <phoneticPr fontId="1"/>
  </si>
  <si>
    <t>米田 康介</t>
    <phoneticPr fontId="1"/>
  </si>
  <si>
    <t>北川 裕希子</t>
    <phoneticPr fontId="1"/>
  </si>
  <si>
    <t>志手 俊二</t>
    <phoneticPr fontId="1"/>
  </si>
  <si>
    <t>柳原 啓宏</t>
    <phoneticPr fontId="1"/>
  </si>
  <si>
    <t>榊原 隆一</t>
    <phoneticPr fontId="1"/>
  </si>
  <si>
    <t>葛西 裕文</t>
    <phoneticPr fontId="1"/>
  </si>
  <si>
    <t>堀 隆教</t>
    <phoneticPr fontId="1"/>
  </si>
  <si>
    <t>芝田 典久</t>
    <phoneticPr fontId="1"/>
  </si>
  <si>
    <t>近藤 治</t>
    <phoneticPr fontId="1"/>
  </si>
  <si>
    <t>松井 忠志</t>
    <phoneticPr fontId="1"/>
  </si>
  <si>
    <t>園田 敏雄</t>
    <phoneticPr fontId="1"/>
  </si>
  <si>
    <t>山越 一江</t>
    <phoneticPr fontId="1"/>
  </si>
  <si>
    <t>安藤 雅子</t>
    <phoneticPr fontId="1"/>
  </si>
  <si>
    <t>澤田 圭子</t>
    <phoneticPr fontId="1"/>
  </si>
  <si>
    <t>青松 未記</t>
    <phoneticPr fontId="1"/>
  </si>
  <si>
    <t>樋田 良子</t>
    <phoneticPr fontId="1"/>
  </si>
  <si>
    <t>野々垣 奈緒子</t>
    <phoneticPr fontId="1"/>
  </si>
  <si>
    <t>堀井 恵美子</t>
    <phoneticPr fontId="1"/>
  </si>
  <si>
    <t>チーム順位表：総合</t>
    <rPh sb="7" eb="9">
      <t>ソウゴウ</t>
    </rPh>
    <phoneticPr fontId="1"/>
  </si>
  <si>
    <t>チーム順位表：男子</t>
    <rPh sb="7" eb="9">
      <t>ダンシ</t>
    </rPh>
    <phoneticPr fontId="1"/>
  </si>
  <si>
    <t>男女区別</t>
    <rPh sb="0" eb="2">
      <t>ダンジョ</t>
    </rPh>
    <rPh sb="2" eb="4">
      <t>クベツ</t>
    </rPh>
    <phoneticPr fontId="1"/>
  </si>
  <si>
    <t>チーム順位表：女子</t>
    <rPh sb="7" eb="9">
      <t>ジョシ</t>
    </rPh>
    <phoneticPr fontId="1"/>
  </si>
  <si>
    <t>列1</t>
  </si>
  <si>
    <t>列2</t>
  </si>
  <si>
    <t>列3</t>
  </si>
  <si>
    <t>水野 三穂</t>
    <phoneticPr fontId="1"/>
  </si>
  <si>
    <t>杉原 伸哉</t>
    <phoneticPr fontId="1"/>
  </si>
  <si>
    <t>氏 名</t>
    <rPh sb="0" eb="1">
      <t>シ</t>
    </rPh>
    <rPh sb="2" eb="3">
      <t>ナ</t>
    </rPh>
    <phoneticPr fontId="1"/>
  </si>
  <si>
    <t>男女</t>
    <rPh sb="0" eb="2">
      <t>ダンジョ</t>
    </rPh>
    <phoneticPr fontId="1"/>
  </si>
  <si>
    <t>瀬戸A</t>
    <phoneticPr fontId="1"/>
  </si>
  <si>
    <t>瀬戸B</t>
    <phoneticPr fontId="1"/>
  </si>
  <si>
    <t>氏　名</t>
    <rPh sb="0" eb="1">
      <t>シ</t>
    </rPh>
    <rPh sb="2" eb="3">
      <t>ナ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</si>
</sst>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General\ &quot;中&quot;"/>
    <numFmt numFmtId="177" formatCode="0.000000000"/>
  </numFmts>
  <fonts count="18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24"/>
      <color theme="1"/>
      <name val="メイリオ"/>
      <family val="3"/>
      <charset val="128"/>
    </font>
    <font>
      <b/>
      <sz val="24"/>
      <color theme="1"/>
      <name val="メイリオ"/>
      <family val="3"/>
      <charset val="128"/>
    </font>
    <font>
      <b/>
      <sz val="24"/>
      <color indexed="8"/>
      <name val="メイリオ"/>
      <family val="3"/>
      <charset val="128"/>
    </font>
    <font>
      <sz val="20"/>
      <color theme="1"/>
      <name val="BIZ UDPゴシック"/>
      <family val="3"/>
      <charset val="128"/>
    </font>
    <font>
      <b/>
      <sz val="20"/>
      <color theme="1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b/>
      <sz val="20"/>
      <color rgb="FFC00000"/>
      <name val="游ゴシック"/>
      <family val="3"/>
      <charset val="128"/>
      <scheme val="minor"/>
    </font>
    <font>
      <sz val="14"/>
      <color theme="1"/>
      <name val="メイリオ"/>
      <family val="3"/>
      <charset val="128"/>
    </font>
    <font>
      <b/>
      <sz val="14"/>
      <color theme="0"/>
      <name val="メイリオ"/>
      <family val="3"/>
      <charset val="128"/>
    </font>
    <font>
      <b/>
      <sz val="14"/>
      <color theme="0" tint="-4.9989318521683403E-2"/>
      <name val="メイリオ"/>
      <family val="3"/>
      <charset val="128"/>
    </font>
    <font>
      <sz val="18"/>
      <color theme="1"/>
      <name val="メイリオ"/>
      <family val="3"/>
      <charset val="128"/>
    </font>
    <font>
      <b/>
      <sz val="18"/>
      <color theme="0"/>
      <name val="メイリオ"/>
      <family val="3"/>
      <charset val="128"/>
    </font>
    <font>
      <sz val="18"/>
      <color theme="0"/>
      <name val="メイリオ"/>
      <family val="3"/>
      <charset val="128"/>
    </font>
    <font>
      <b/>
      <sz val="18"/>
      <color theme="0" tint="-4.9989318521683403E-2"/>
      <name val="Meiryo UI"/>
      <family val="3"/>
      <charset val="128"/>
    </font>
    <font>
      <sz val="18"/>
      <color theme="1"/>
      <name val="Meiryo UI"/>
      <family val="3"/>
      <charset val="128"/>
    </font>
    <font>
      <sz val="18"/>
      <color theme="0"/>
      <name val="Meiryo UI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</fills>
  <borders count="10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/>
      <top style="thin">
        <color indexed="64"/>
      </top>
      <bottom style="thin">
        <color indexed="64"/>
      </bottom>
      <diagonal/>
    </border>
    <border>
      <left style="medium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mediumDash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theme="0" tint="-4.9989318521683403E-2"/>
      </right>
      <top/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indexed="64"/>
      </bottom>
      <diagonal/>
    </border>
    <border>
      <left style="thin">
        <color theme="0" tint="-4.9989318521683403E-2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4">
    <xf numFmtId="0" fontId="0" fillId="0" borderId="0" xfId="0"/>
    <xf numFmtId="0" fontId="2" fillId="0" borderId="0" xfId="0" applyFont="1" applyAlignment="1">
      <alignment horizontal="center" vertical="top"/>
    </xf>
    <xf numFmtId="0" fontId="2" fillId="6" borderId="34" xfId="0" applyFont="1" applyFill="1" applyBorder="1" applyAlignment="1">
      <alignment horizontal="center" vertical="top" textRotation="255" shrinkToFit="1"/>
    </xf>
    <xf numFmtId="0" fontId="2" fillId="6" borderId="35" xfId="0" applyFont="1" applyFill="1" applyBorder="1" applyAlignment="1">
      <alignment horizontal="center" vertical="top" textRotation="255" shrinkToFit="1"/>
    </xf>
    <xf numFmtId="0" fontId="2" fillId="6" borderId="36" xfId="0" applyFont="1" applyFill="1" applyBorder="1" applyAlignment="1">
      <alignment horizontal="center" vertical="top" textRotation="255" shrinkToFit="1"/>
    </xf>
    <xf numFmtId="0" fontId="2" fillId="6" borderId="44" xfId="0" applyFont="1" applyFill="1" applyBorder="1" applyAlignment="1">
      <alignment horizontal="center" vertical="top" textRotation="255" shrinkToFit="1"/>
    </xf>
    <xf numFmtId="0" fontId="2" fillId="6" borderId="70" xfId="0" applyFont="1" applyFill="1" applyBorder="1" applyAlignment="1">
      <alignment horizontal="center" vertical="top" textRotation="255" shrinkToFit="1"/>
    </xf>
    <xf numFmtId="0" fontId="2" fillId="6" borderId="84" xfId="0" applyFont="1" applyFill="1" applyBorder="1" applyAlignment="1">
      <alignment horizontal="center" vertical="top" textRotation="255" shrinkToFit="1"/>
    </xf>
    <xf numFmtId="0" fontId="2" fillId="6" borderId="85" xfId="0" applyFont="1" applyFill="1" applyBorder="1" applyAlignment="1">
      <alignment horizontal="center" vertical="top" textRotation="255" shrinkToFit="1"/>
    </xf>
    <xf numFmtId="0" fontId="2" fillId="7" borderId="6" xfId="0" applyFont="1" applyFill="1" applyBorder="1" applyAlignment="1">
      <alignment horizontal="center" vertical="center"/>
    </xf>
    <xf numFmtId="0" fontId="2" fillId="7" borderId="33" xfId="0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0" fontId="2" fillId="7" borderId="86" xfId="0" applyFont="1" applyFill="1" applyBorder="1" applyAlignment="1">
      <alignment horizontal="center" vertical="center"/>
    </xf>
    <xf numFmtId="0" fontId="2" fillId="6" borderId="78" xfId="0" applyFont="1" applyFill="1" applyBorder="1" applyAlignment="1">
      <alignment horizontal="center" vertical="center"/>
    </xf>
    <xf numFmtId="0" fontId="2" fillId="6" borderId="79" xfId="0" applyFont="1" applyFill="1" applyBorder="1" applyAlignment="1">
      <alignment horizontal="center" vertical="center"/>
    </xf>
    <xf numFmtId="0" fontId="2" fillId="6" borderId="80" xfId="0" applyFont="1" applyFill="1" applyBorder="1" applyAlignment="1">
      <alignment horizontal="center" vertical="center"/>
    </xf>
    <xf numFmtId="0" fontId="2" fillId="6" borderId="81" xfId="0" applyFont="1" applyFill="1" applyBorder="1" applyAlignment="1">
      <alignment horizontal="center" vertical="center"/>
    </xf>
    <xf numFmtId="0" fontId="2" fillId="6" borderId="56" xfId="0" applyFont="1" applyFill="1" applyBorder="1" applyAlignment="1">
      <alignment horizontal="center" vertical="center"/>
    </xf>
    <xf numFmtId="0" fontId="2" fillId="6" borderId="57" xfId="0" applyFont="1" applyFill="1" applyBorder="1" applyAlignment="1">
      <alignment horizontal="center" vertical="center"/>
    </xf>
    <xf numFmtId="0" fontId="2" fillId="6" borderId="48" xfId="0" applyFont="1" applyFill="1" applyBorder="1" applyAlignment="1">
      <alignment horizontal="center" vertical="center"/>
    </xf>
    <xf numFmtId="0" fontId="2" fillId="6" borderId="58" xfId="0" applyFont="1" applyFill="1" applyBorder="1" applyAlignment="1">
      <alignment horizontal="center" vertical="center"/>
    </xf>
    <xf numFmtId="0" fontId="2" fillId="6" borderId="51" xfId="0" applyFont="1" applyFill="1" applyBorder="1" applyAlignment="1">
      <alignment horizontal="center" vertical="center"/>
    </xf>
    <xf numFmtId="0" fontId="2" fillId="6" borderId="59" xfId="0" applyFont="1" applyFill="1" applyBorder="1" applyAlignment="1">
      <alignment horizontal="center" vertical="center"/>
    </xf>
    <xf numFmtId="0" fontId="2" fillId="6" borderId="54" xfId="0" applyFont="1" applyFill="1" applyBorder="1" applyAlignment="1">
      <alignment horizontal="center" vertical="center"/>
    </xf>
    <xf numFmtId="0" fontId="2" fillId="6" borderId="60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2" fillId="7" borderId="73" xfId="0" applyFont="1" applyFill="1" applyBorder="1" applyAlignment="1">
      <alignment horizontal="center" vertical="center"/>
    </xf>
    <xf numFmtId="0" fontId="2" fillId="7" borderId="74" xfId="0" applyFont="1" applyFill="1" applyBorder="1" applyAlignment="1">
      <alignment horizontal="center" vertical="center"/>
    </xf>
    <xf numFmtId="0" fontId="2" fillId="7" borderId="39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41" xfId="0" applyFont="1" applyFill="1" applyBorder="1" applyAlignment="1">
      <alignment horizontal="center" vertical="center"/>
    </xf>
    <xf numFmtId="0" fontId="2" fillId="7" borderId="37" xfId="0" applyFont="1" applyFill="1" applyBorder="1" applyAlignment="1">
      <alignment horizontal="center" vertical="center"/>
    </xf>
    <xf numFmtId="0" fontId="2" fillId="7" borderId="43" xfId="0" applyFont="1" applyFill="1" applyBorder="1" applyAlignment="1">
      <alignment horizontal="center" vertical="center"/>
    </xf>
    <xf numFmtId="0" fontId="2" fillId="7" borderId="66" xfId="0" applyFont="1" applyFill="1" applyBorder="1" applyAlignment="1">
      <alignment horizontal="center" vertical="center"/>
    </xf>
    <xf numFmtId="0" fontId="2" fillId="7" borderId="65" xfId="0" applyFont="1" applyFill="1" applyBorder="1" applyAlignment="1">
      <alignment horizontal="center" vertical="center"/>
    </xf>
    <xf numFmtId="0" fontId="2" fillId="7" borderId="87" xfId="0" applyFont="1" applyFill="1" applyBorder="1" applyAlignment="1">
      <alignment horizontal="center" vertical="center"/>
    </xf>
    <xf numFmtId="0" fontId="2" fillId="6" borderId="69" xfId="0" applyFont="1" applyFill="1" applyBorder="1" applyAlignment="1">
      <alignment horizontal="center" vertical="center"/>
    </xf>
    <xf numFmtId="0" fontId="2" fillId="6" borderId="82" xfId="0" applyFont="1" applyFill="1" applyBorder="1" applyAlignment="1">
      <alignment horizontal="center" vertical="center"/>
    </xf>
    <xf numFmtId="0" fontId="2" fillId="6" borderId="83" xfId="0" applyFont="1" applyFill="1" applyBorder="1" applyAlignment="1">
      <alignment horizontal="center" vertical="center"/>
    </xf>
    <xf numFmtId="0" fontId="2" fillId="6" borderId="46" xfId="0" applyFont="1" applyFill="1" applyBorder="1" applyAlignment="1">
      <alignment horizontal="center" vertical="center"/>
    </xf>
    <xf numFmtId="0" fontId="2" fillId="6" borderId="47" xfId="0" applyFont="1" applyFill="1" applyBorder="1" applyAlignment="1">
      <alignment horizontal="center" vertical="center"/>
    </xf>
    <xf numFmtId="0" fontId="2" fillId="6" borderId="49" xfId="0" applyFont="1" applyFill="1" applyBorder="1" applyAlignment="1">
      <alignment horizontal="center" vertical="center"/>
    </xf>
    <xf numFmtId="0" fontId="2" fillId="6" borderId="52" xfId="0" applyFont="1" applyFill="1" applyBorder="1" applyAlignment="1">
      <alignment horizontal="center" vertical="center"/>
    </xf>
    <xf numFmtId="0" fontId="2" fillId="6" borderId="53" xfId="0" applyFont="1" applyFill="1" applyBorder="1" applyAlignment="1">
      <alignment horizontal="center" vertical="center"/>
    </xf>
    <xf numFmtId="0" fontId="2" fillId="6" borderId="55" xfId="0" applyFont="1" applyFill="1" applyBorder="1" applyAlignment="1">
      <alignment horizontal="center" vertical="center"/>
    </xf>
    <xf numFmtId="0" fontId="2" fillId="7" borderId="38" xfId="0" applyFont="1" applyFill="1" applyBorder="1" applyAlignment="1">
      <alignment horizontal="center" vertical="center"/>
    </xf>
    <xf numFmtId="0" fontId="2" fillId="7" borderId="75" xfId="0" applyFont="1" applyFill="1" applyBorder="1" applyAlignment="1">
      <alignment horizontal="center" vertical="center"/>
    </xf>
    <xf numFmtId="0" fontId="2" fillId="7" borderId="77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2" xfId="0" applyFont="1" applyFill="1" applyBorder="1" applyAlignment="1">
      <alignment horizontal="center" vertical="center"/>
    </xf>
    <xf numFmtId="49" fontId="4" fillId="6" borderId="88" xfId="0" applyNumberFormat="1" applyFont="1" applyFill="1" applyBorder="1" applyAlignment="1">
      <alignment horizontal="center" vertical="center"/>
    </xf>
    <xf numFmtId="49" fontId="4" fillId="6" borderId="91" xfId="0" applyNumberFormat="1" applyFont="1" applyFill="1" applyBorder="1" applyAlignment="1">
      <alignment horizontal="center" vertical="center"/>
    </xf>
    <xf numFmtId="49" fontId="4" fillId="6" borderId="92" xfId="0" applyNumberFormat="1" applyFont="1" applyFill="1" applyBorder="1" applyAlignment="1">
      <alignment horizontal="center" vertical="center"/>
    </xf>
    <xf numFmtId="49" fontId="4" fillId="6" borderId="93" xfId="0" applyNumberFormat="1" applyFont="1" applyFill="1" applyBorder="1" applyAlignment="1">
      <alignment horizontal="center" vertical="center"/>
    </xf>
    <xf numFmtId="49" fontId="3" fillId="6" borderId="88" xfId="0" applyNumberFormat="1" applyFont="1" applyFill="1" applyBorder="1" applyAlignment="1">
      <alignment horizontal="center" vertical="center"/>
    </xf>
    <xf numFmtId="49" fontId="3" fillId="6" borderId="91" xfId="0" applyNumberFormat="1" applyFont="1" applyFill="1" applyBorder="1" applyAlignment="1">
      <alignment horizontal="center" vertical="center"/>
    </xf>
    <xf numFmtId="49" fontId="3" fillId="6" borderId="92" xfId="0" applyNumberFormat="1" applyFont="1" applyFill="1" applyBorder="1" applyAlignment="1">
      <alignment horizontal="center" vertical="center"/>
    </xf>
    <xf numFmtId="49" fontId="3" fillId="6" borderId="93" xfId="0" applyNumberFormat="1" applyFont="1" applyFill="1" applyBorder="1" applyAlignment="1">
      <alignment horizontal="center" vertical="center"/>
    </xf>
    <xf numFmtId="49" fontId="4" fillId="6" borderId="94" xfId="0" applyNumberFormat="1" applyFont="1" applyFill="1" applyBorder="1" applyAlignment="1">
      <alignment horizontal="center" vertical="center"/>
    </xf>
    <xf numFmtId="49" fontId="4" fillId="6" borderId="95" xfId="0" applyNumberFormat="1" applyFont="1" applyFill="1" applyBorder="1" applyAlignment="1">
      <alignment horizontal="center" vertical="center"/>
    </xf>
    <xf numFmtId="49" fontId="4" fillId="6" borderId="96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top"/>
    </xf>
    <xf numFmtId="177" fontId="8" fillId="0" borderId="20" xfId="0" applyNumberFormat="1" applyFont="1" applyBorder="1" applyAlignment="1">
      <alignment horizontal="center" vertical="top"/>
    </xf>
    <xf numFmtId="177" fontId="8" fillId="0" borderId="1" xfId="0" applyNumberFormat="1" applyFont="1" applyBorder="1" applyAlignment="1">
      <alignment horizontal="center" vertical="top"/>
    </xf>
    <xf numFmtId="177" fontId="8" fillId="0" borderId="2" xfId="0" applyNumberFormat="1" applyFont="1" applyBorder="1" applyAlignment="1">
      <alignment horizontal="center" vertical="top"/>
    </xf>
    <xf numFmtId="177" fontId="8" fillId="0" borderId="15" xfId="0" applyNumberFormat="1" applyFont="1" applyBorder="1" applyAlignment="1">
      <alignment horizontal="center" vertical="top"/>
    </xf>
    <xf numFmtId="177" fontId="8" fillId="0" borderId="16" xfId="0" applyNumberFormat="1" applyFont="1" applyBorder="1" applyAlignment="1">
      <alignment horizontal="center" vertical="top"/>
    </xf>
    <xf numFmtId="177" fontId="8" fillId="0" borderId="4" xfId="0" applyNumberFormat="1" applyFont="1" applyBorder="1" applyAlignment="1">
      <alignment horizontal="center" vertical="top"/>
    </xf>
    <xf numFmtId="0" fontId="7" fillId="5" borderId="20" xfId="0" applyFont="1" applyFill="1" applyBorder="1" applyAlignment="1">
      <alignment horizontal="center" vertical="top"/>
    </xf>
    <xf numFmtId="0" fontId="7" fillId="5" borderId="1" xfId="0" applyFont="1" applyFill="1" applyBorder="1" applyAlignment="1">
      <alignment horizontal="center" vertical="top"/>
    </xf>
    <xf numFmtId="0" fontId="7" fillId="5" borderId="2" xfId="0" applyFont="1" applyFill="1" applyBorder="1" applyAlignment="1">
      <alignment horizontal="center" vertical="top"/>
    </xf>
    <xf numFmtId="0" fontId="7" fillId="5" borderId="15" xfId="0" applyFont="1" applyFill="1" applyBorder="1" applyAlignment="1">
      <alignment horizontal="center" vertical="top"/>
    </xf>
    <xf numFmtId="0" fontId="7" fillId="5" borderId="16" xfId="0" applyFont="1" applyFill="1" applyBorder="1" applyAlignment="1">
      <alignment horizontal="center" vertical="top"/>
    </xf>
    <xf numFmtId="0" fontId="7" fillId="5" borderId="4" xfId="0" applyFont="1" applyFill="1" applyBorder="1" applyAlignment="1">
      <alignment horizontal="center" vertical="top"/>
    </xf>
    <xf numFmtId="0" fontId="7" fillId="3" borderId="20" xfId="0" applyFont="1" applyFill="1" applyBorder="1" applyAlignment="1">
      <alignment horizontal="center" vertical="top"/>
    </xf>
    <xf numFmtId="0" fontId="7" fillId="3" borderId="1" xfId="0" applyFont="1" applyFill="1" applyBorder="1" applyAlignment="1">
      <alignment horizontal="center" vertical="top"/>
    </xf>
    <xf numFmtId="0" fontId="7" fillId="3" borderId="2" xfId="0" applyFont="1" applyFill="1" applyBorder="1" applyAlignment="1">
      <alignment horizontal="center" vertical="top"/>
    </xf>
    <xf numFmtId="0" fontId="7" fillId="3" borderId="15" xfId="0" applyFont="1" applyFill="1" applyBorder="1" applyAlignment="1">
      <alignment horizontal="center" vertical="top"/>
    </xf>
    <xf numFmtId="0" fontId="7" fillId="3" borderId="16" xfId="0" applyFont="1" applyFill="1" applyBorder="1" applyAlignment="1">
      <alignment horizontal="center" vertical="top"/>
    </xf>
    <xf numFmtId="0" fontId="7" fillId="3" borderId="4" xfId="0" applyFont="1" applyFill="1" applyBorder="1" applyAlignment="1">
      <alignment horizontal="center" vertical="top"/>
    </xf>
    <xf numFmtId="0" fontId="7" fillId="0" borderId="20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7" fillId="0" borderId="15" xfId="0" applyFont="1" applyBorder="1" applyAlignment="1">
      <alignment horizontal="center" vertical="top"/>
    </xf>
    <xf numFmtId="0" fontId="7" fillId="0" borderId="16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7" fillId="0" borderId="30" xfId="0" applyFont="1" applyBorder="1" applyAlignment="1">
      <alignment horizontal="center" vertical="top"/>
    </xf>
    <xf numFmtId="0" fontId="7" fillId="0" borderId="27" xfId="0" applyFont="1" applyBorder="1" applyAlignment="1">
      <alignment horizontal="center" vertical="top"/>
    </xf>
    <xf numFmtId="0" fontId="7" fillId="0" borderId="24" xfId="0" applyFont="1" applyBorder="1" applyAlignment="1">
      <alignment horizontal="center" vertical="top"/>
    </xf>
    <xf numFmtId="0" fontId="7" fillId="0" borderId="31" xfId="0" applyFont="1" applyBorder="1" applyAlignment="1">
      <alignment horizontal="center" vertical="top"/>
    </xf>
    <xf numFmtId="0" fontId="7" fillId="0" borderId="32" xfId="0" applyFont="1" applyBorder="1" applyAlignment="1">
      <alignment horizontal="center" vertical="top"/>
    </xf>
    <xf numFmtId="0" fontId="7" fillId="0" borderId="21" xfId="0" applyFont="1" applyBorder="1" applyAlignment="1">
      <alignment horizontal="center" vertical="top"/>
    </xf>
    <xf numFmtId="3" fontId="7" fillId="0" borderId="28" xfId="0" applyNumberFormat="1" applyFont="1" applyBorder="1" applyAlignment="1">
      <alignment horizontal="center" vertical="top" wrapText="1"/>
    </xf>
    <xf numFmtId="3" fontId="7" fillId="0" borderId="6" xfId="0" applyNumberFormat="1" applyFont="1" applyBorder="1" applyAlignment="1">
      <alignment horizontal="center" vertical="top" wrapText="1"/>
    </xf>
    <xf numFmtId="3" fontId="7" fillId="0" borderId="33" xfId="0" applyNumberFormat="1" applyFont="1" applyBorder="1" applyAlignment="1">
      <alignment horizontal="center" vertical="top" wrapText="1"/>
    </xf>
    <xf numFmtId="3" fontId="7" fillId="0" borderId="23" xfId="0" applyNumberFormat="1" applyFont="1" applyBorder="1" applyAlignment="1">
      <alignment horizontal="center" vertical="top" wrapText="1"/>
    </xf>
    <xf numFmtId="3" fontId="7" fillId="0" borderId="29" xfId="0" applyNumberFormat="1" applyFont="1" applyBorder="1" applyAlignment="1">
      <alignment horizontal="center" vertical="top" wrapText="1"/>
    </xf>
    <xf numFmtId="3" fontId="7" fillId="0" borderId="66" xfId="0" applyNumberFormat="1" applyFont="1" applyBorder="1" applyAlignment="1">
      <alignment horizontal="center" vertical="top" wrapText="1"/>
    </xf>
    <xf numFmtId="3" fontId="7" fillId="0" borderId="20" xfId="0" applyNumberFormat="1" applyFont="1" applyBorder="1" applyAlignment="1">
      <alignment horizontal="center" vertical="top" wrapText="1"/>
    </xf>
    <xf numFmtId="3" fontId="7" fillId="0" borderId="1" xfId="0" applyNumberFormat="1" applyFont="1" applyBorder="1" applyAlignment="1">
      <alignment horizontal="center" vertical="top" wrapText="1"/>
    </xf>
    <xf numFmtId="3" fontId="7" fillId="0" borderId="2" xfId="0" applyNumberFormat="1" applyFont="1" applyBorder="1" applyAlignment="1">
      <alignment horizontal="center" vertical="top" wrapText="1"/>
    </xf>
    <xf numFmtId="3" fontId="7" fillId="0" borderId="15" xfId="0" applyNumberFormat="1" applyFont="1" applyBorder="1" applyAlignment="1">
      <alignment horizontal="center" vertical="top" wrapText="1"/>
    </xf>
    <xf numFmtId="3" fontId="7" fillId="0" borderId="16" xfId="0" applyNumberFormat="1" applyFont="1" applyBorder="1" applyAlignment="1">
      <alignment horizontal="center" vertical="top" wrapText="1"/>
    </xf>
    <xf numFmtId="3" fontId="7" fillId="0" borderId="4" xfId="0" applyNumberFormat="1" applyFont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center" textRotation="255"/>
    </xf>
    <xf numFmtId="0" fontId="5" fillId="0" borderId="20" xfId="0" applyFont="1" applyBorder="1" applyAlignment="1">
      <alignment horizontal="center" vertical="center" textRotation="255" shrinkToFit="1"/>
    </xf>
    <xf numFmtId="0" fontId="5" fillId="0" borderId="1" xfId="0" applyFont="1" applyBorder="1" applyAlignment="1">
      <alignment horizontal="center" vertical="center" textRotation="255" shrinkToFit="1"/>
    </xf>
    <xf numFmtId="0" fontId="5" fillId="0" borderId="2" xfId="0" applyFont="1" applyBorder="1" applyAlignment="1">
      <alignment horizontal="center" vertical="center" textRotation="255" shrinkToFit="1"/>
    </xf>
    <xf numFmtId="0" fontId="5" fillId="0" borderId="15" xfId="0" applyFont="1" applyBorder="1" applyAlignment="1">
      <alignment horizontal="center" vertical="center" textRotation="255" shrinkToFit="1"/>
    </xf>
    <xf numFmtId="0" fontId="5" fillId="0" borderId="16" xfId="0" applyFont="1" applyBorder="1" applyAlignment="1">
      <alignment horizontal="center" vertical="center" textRotation="255" shrinkToFit="1"/>
    </xf>
    <xf numFmtId="0" fontId="5" fillId="0" borderId="4" xfId="0" applyFont="1" applyBorder="1" applyAlignment="1">
      <alignment horizontal="center" vertical="center" textRotation="255" shrinkToFit="1"/>
    </xf>
    <xf numFmtId="0" fontId="5" fillId="0" borderId="0" xfId="0" applyFont="1" applyBorder="1" applyAlignment="1">
      <alignment horizontal="center" vertical="center" textRotation="255" shrinkToFit="1"/>
    </xf>
    <xf numFmtId="0" fontId="9" fillId="0" borderId="0" xfId="0" applyFont="1"/>
    <xf numFmtId="0" fontId="10" fillId="9" borderId="62" xfId="0" applyFont="1" applyFill="1" applyBorder="1" applyAlignment="1">
      <alignment horizontal="center" vertical="center"/>
    </xf>
    <xf numFmtId="0" fontId="11" fillId="9" borderId="63" xfId="0" applyFont="1" applyFill="1" applyBorder="1" applyAlignment="1">
      <alignment horizontal="center"/>
    </xf>
    <xf numFmtId="0" fontId="10" fillId="9" borderId="64" xfId="0" applyFont="1" applyFill="1" applyBorder="1" applyAlignment="1">
      <alignment horizontal="center" vertical="center"/>
    </xf>
    <xf numFmtId="0" fontId="10" fillId="8" borderId="62" xfId="0" applyFont="1" applyFill="1" applyBorder="1" applyAlignment="1">
      <alignment horizontal="center" vertical="center"/>
    </xf>
    <xf numFmtId="0" fontId="11" fillId="8" borderId="63" xfId="0" applyFont="1" applyFill="1" applyBorder="1" applyAlignment="1">
      <alignment horizontal="center"/>
    </xf>
    <xf numFmtId="0" fontId="10" fillId="8" borderId="64" xfId="0" applyFont="1" applyFill="1" applyBorder="1" applyAlignment="1">
      <alignment horizontal="center" vertical="center"/>
    </xf>
    <xf numFmtId="0" fontId="11" fillId="10" borderId="62" xfId="0" applyFont="1" applyFill="1" applyBorder="1" applyAlignment="1">
      <alignment horizontal="center" vertical="center"/>
    </xf>
    <xf numFmtId="0" fontId="11" fillId="10" borderId="63" xfId="0" applyFont="1" applyFill="1" applyBorder="1" applyAlignment="1">
      <alignment horizontal="center"/>
    </xf>
    <xf numFmtId="0" fontId="11" fillId="10" borderId="6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0" fillId="4" borderId="25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/>
    </xf>
    <xf numFmtId="0" fontId="10" fillId="4" borderId="1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176" fontId="9" fillId="0" borderId="1" xfId="0" applyNumberFormat="1" applyFont="1" applyBorder="1" applyAlignment="1">
      <alignment horizontal="center" vertical="center"/>
    </xf>
    <xf numFmtId="0" fontId="9" fillId="0" borderId="0" xfId="0" applyNumberFormat="1" applyFont="1" applyBorder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/>
    </xf>
    <xf numFmtId="176" fontId="9" fillId="0" borderId="1" xfId="0" applyNumberFormat="1" applyFont="1" applyBorder="1" applyAlignment="1">
      <alignment vertical="center"/>
    </xf>
    <xf numFmtId="0" fontId="9" fillId="0" borderId="1" xfId="0" applyFont="1" applyBorder="1" applyAlignment="1"/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176" fontId="9" fillId="0" borderId="1" xfId="0" applyNumberFormat="1" applyFont="1" applyBorder="1" applyAlignment="1">
      <alignment horizontal="center"/>
    </xf>
    <xf numFmtId="176" fontId="9" fillId="0" borderId="5" xfId="0" applyNumberFormat="1" applyFont="1" applyBorder="1" applyAlignment="1">
      <alignment vertical="center"/>
    </xf>
    <xf numFmtId="0" fontId="9" fillId="0" borderId="5" xfId="0" applyNumberFormat="1" applyFont="1" applyBorder="1" applyAlignment="1">
      <alignment horizontal="center" vertical="center"/>
    </xf>
    <xf numFmtId="0" fontId="9" fillId="0" borderId="5" xfId="0" applyFont="1" applyBorder="1" applyAlignment="1"/>
    <xf numFmtId="176" fontId="9" fillId="0" borderId="5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13" fillId="8" borderId="0" xfId="0" applyFont="1" applyFill="1" applyBorder="1" applyAlignment="1">
      <alignment horizontal="center" vertical="center"/>
    </xf>
    <xf numFmtId="0" fontId="13" fillId="10" borderId="0" xfId="0" applyFont="1" applyFill="1" applyBorder="1" applyAlignment="1">
      <alignment horizontal="center" vertical="center"/>
    </xf>
    <xf numFmtId="0" fontId="13" fillId="9" borderId="67" xfId="0" applyFont="1" applyFill="1" applyBorder="1" applyAlignment="1">
      <alignment horizontal="center" vertical="center"/>
    </xf>
    <xf numFmtId="0" fontId="13" fillId="9" borderId="25" xfId="0" applyFont="1" applyFill="1" applyBorder="1" applyAlignment="1">
      <alignment horizontal="center" vertical="center"/>
    </xf>
    <xf numFmtId="0" fontId="13" fillId="9" borderId="68" xfId="0" applyFont="1" applyFill="1" applyBorder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0" fontId="13" fillId="8" borderId="67" xfId="0" applyFont="1" applyFill="1" applyBorder="1" applyAlignment="1">
      <alignment horizontal="center" vertical="center"/>
    </xf>
    <xf numFmtId="0" fontId="13" fillId="8" borderId="25" xfId="0" applyFont="1" applyFill="1" applyBorder="1" applyAlignment="1">
      <alignment horizontal="center" vertical="center"/>
    </xf>
    <xf numFmtId="0" fontId="13" fillId="8" borderId="68" xfId="0" applyFont="1" applyFill="1" applyBorder="1" applyAlignment="1">
      <alignment horizontal="center" vertical="center"/>
    </xf>
    <xf numFmtId="0" fontId="13" fillId="10" borderId="67" xfId="0" applyFont="1" applyFill="1" applyBorder="1" applyAlignment="1">
      <alignment horizontal="center" vertical="center"/>
    </xf>
    <xf numFmtId="0" fontId="13" fillId="10" borderId="25" xfId="0" applyFont="1" applyFill="1" applyBorder="1" applyAlignment="1">
      <alignment horizontal="center" vertical="center"/>
    </xf>
    <xf numFmtId="0" fontId="13" fillId="10" borderId="68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/>
    </xf>
    <xf numFmtId="0" fontId="13" fillId="4" borderId="14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vertical="center"/>
    </xf>
    <xf numFmtId="0" fontId="12" fillId="0" borderId="1" xfId="0" applyFont="1" applyFill="1" applyBorder="1" applyAlignment="1"/>
    <xf numFmtId="0" fontId="12" fillId="0" borderId="7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0" fontId="12" fillId="0" borderId="5" xfId="0" applyFont="1" applyFill="1" applyBorder="1" applyAlignment="1"/>
    <xf numFmtId="0" fontId="12" fillId="0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17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8" fillId="0" borderId="15" xfId="0" applyFont="1" applyBorder="1" applyAlignment="1">
      <alignment horizontal="center" vertical="top"/>
    </xf>
    <xf numFmtId="0" fontId="8" fillId="0" borderId="16" xfId="0" applyFont="1" applyBorder="1" applyAlignment="1">
      <alignment horizontal="center" vertical="top"/>
    </xf>
    <xf numFmtId="0" fontId="8" fillId="0" borderId="20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6" fillId="0" borderId="19" xfId="0" applyFont="1" applyBorder="1" applyAlignment="1">
      <alignment horizontal="center" vertical="top"/>
    </xf>
    <xf numFmtId="0" fontId="13" fillId="8" borderId="8" xfId="0" applyFont="1" applyFill="1" applyBorder="1" applyAlignment="1">
      <alignment horizontal="center" vertical="center"/>
    </xf>
    <xf numFmtId="0" fontId="13" fillId="8" borderId="9" xfId="0" applyFont="1" applyFill="1" applyBorder="1" applyAlignment="1">
      <alignment horizontal="center" vertical="center"/>
    </xf>
    <xf numFmtId="0" fontId="13" fillId="8" borderId="10" xfId="0" applyFont="1" applyFill="1" applyBorder="1" applyAlignment="1">
      <alignment horizontal="center" vertical="center"/>
    </xf>
    <xf numFmtId="0" fontId="13" fillId="10" borderId="8" xfId="0" applyFont="1" applyFill="1" applyBorder="1" applyAlignment="1">
      <alignment horizontal="center" vertical="center"/>
    </xf>
    <xf numFmtId="0" fontId="13" fillId="10" borderId="9" xfId="0" applyFont="1" applyFill="1" applyBorder="1" applyAlignment="1">
      <alignment horizontal="center" vertical="center"/>
    </xf>
    <xf numFmtId="0" fontId="13" fillId="10" borderId="10" xfId="0" applyFont="1" applyFill="1" applyBorder="1" applyAlignment="1">
      <alignment horizontal="center" vertical="center"/>
    </xf>
    <xf numFmtId="0" fontId="13" fillId="9" borderId="8" xfId="0" applyFont="1" applyFill="1" applyBorder="1" applyAlignment="1">
      <alignment horizontal="center" vertical="center"/>
    </xf>
    <xf numFmtId="0" fontId="13" fillId="9" borderId="9" xfId="0" applyFont="1" applyFill="1" applyBorder="1" applyAlignment="1">
      <alignment horizontal="center" vertical="center"/>
    </xf>
    <xf numFmtId="0" fontId="13" fillId="9" borderId="1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9" borderId="9" xfId="0" applyFont="1" applyFill="1" applyBorder="1" applyAlignment="1">
      <alignment horizontal="center" vertical="center"/>
    </xf>
    <xf numFmtId="0" fontId="10" fillId="9" borderId="10" xfId="0" applyFont="1" applyFill="1" applyBorder="1" applyAlignment="1">
      <alignment horizontal="center" vertical="center"/>
    </xf>
    <xf numFmtId="0" fontId="10" fillId="8" borderId="8" xfId="0" applyFont="1" applyFill="1" applyBorder="1" applyAlignment="1">
      <alignment horizontal="center" vertical="center"/>
    </xf>
    <xf numFmtId="0" fontId="10" fillId="8" borderId="9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11" fillId="10" borderId="8" xfId="0" applyFont="1" applyFill="1" applyBorder="1" applyAlignment="1">
      <alignment horizontal="center" vertical="center"/>
    </xf>
    <xf numFmtId="0" fontId="11" fillId="10" borderId="9" xfId="0" applyFont="1" applyFill="1" applyBorder="1" applyAlignment="1">
      <alignment horizontal="center" vertical="center"/>
    </xf>
    <xf numFmtId="0" fontId="11" fillId="10" borderId="10" xfId="0" applyFont="1" applyFill="1" applyBorder="1" applyAlignment="1">
      <alignment horizontal="center" vertical="center"/>
    </xf>
    <xf numFmtId="0" fontId="2" fillId="0" borderId="76" xfId="0" applyFont="1" applyBorder="1" applyAlignment="1">
      <alignment horizontal="center" vertical="center"/>
    </xf>
    <xf numFmtId="0" fontId="2" fillId="0" borderId="75" xfId="0" applyFont="1" applyBorder="1" applyAlignment="1">
      <alignment horizontal="center" vertical="center"/>
    </xf>
    <xf numFmtId="0" fontId="2" fillId="0" borderId="77" xfId="0" applyFont="1" applyBorder="1" applyAlignment="1">
      <alignment horizontal="center" vertical="center"/>
    </xf>
    <xf numFmtId="176" fontId="3" fillId="7" borderId="17" xfId="0" applyNumberFormat="1" applyFont="1" applyFill="1" applyBorder="1" applyAlignment="1">
      <alignment horizontal="center" vertical="center"/>
    </xf>
    <xf numFmtId="176" fontId="3" fillId="7" borderId="3" xfId="0" applyNumberFormat="1" applyFont="1" applyFill="1" applyBorder="1" applyAlignment="1">
      <alignment horizontal="center" vertical="center"/>
    </xf>
    <xf numFmtId="176" fontId="3" fillId="7" borderId="42" xfId="0" applyNumberFormat="1" applyFont="1" applyFill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2" fillId="7" borderId="97" xfId="0" applyFont="1" applyFill="1" applyBorder="1" applyAlignment="1">
      <alignment horizontal="center" vertical="center"/>
    </xf>
    <xf numFmtId="176" fontId="3" fillId="7" borderId="71" xfId="0" applyNumberFormat="1" applyFont="1" applyFill="1" applyBorder="1" applyAlignment="1">
      <alignment horizontal="center" vertical="center"/>
    </xf>
    <xf numFmtId="0" fontId="2" fillId="7" borderId="98" xfId="0" applyFont="1" applyFill="1" applyBorder="1" applyAlignment="1">
      <alignment horizontal="center" vertical="center"/>
    </xf>
    <xf numFmtId="49" fontId="4" fillId="6" borderId="90" xfId="0" applyNumberFormat="1" applyFont="1" applyFill="1" applyBorder="1" applyAlignment="1">
      <alignment horizontal="center" vertical="center"/>
    </xf>
    <xf numFmtId="0" fontId="2" fillId="7" borderId="99" xfId="0" applyFont="1" applyFill="1" applyBorder="1" applyAlignment="1">
      <alignment horizontal="center" vertical="center"/>
    </xf>
    <xf numFmtId="0" fontId="2" fillId="7" borderId="100" xfId="0" applyFont="1" applyFill="1" applyBorder="1" applyAlignment="1">
      <alignment horizontal="center" vertical="center"/>
    </xf>
    <xf numFmtId="0" fontId="2" fillId="6" borderId="101" xfId="0" applyFont="1" applyFill="1" applyBorder="1" applyAlignment="1">
      <alignment horizontal="center" vertical="center"/>
    </xf>
    <xf numFmtId="0" fontId="2" fillId="7" borderId="102" xfId="0" applyFont="1" applyFill="1" applyBorder="1" applyAlignment="1">
      <alignment horizontal="center" vertical="center"/>
    </xf>
    <xf numFmtId="0" fontId="2" fillId="6" borderId="45" xfId="0" applyFont="1" applyFill="1" applyBorder="1" applyAlignment="1">
      <alignment horizontal="center" vertical="center"/>
    </xf>
    <xf numFmtId="0" fontId="2" fillId="7" borderId="103" xfId="0" applyFont="1" applyFill="1" applyBorder="1" applyAlignment="1">
      <alignment horizontal="center" vertical="center"/>
    </xf>
    <xf numFmtId="0" fontId="2" fillId="6" borderId="50" xfId="0" applyFont="1" applyFill="1" applyBorder="1" applyAlignment="1">
      <alignment horizontal="center" vertical="center"/>
    </xf>
    <xf numFmtId="0" fontId="2" fillId="7" borderId="104" xfId="0" applyFont="1" applyFill="1" applyBorder="1" applyAlignment="1">
      <alignment horizontal="center" vertical="center"/>
    </xf>
    <xf numFmtId="0" fontId="2" fillId="6" borderId="40" xfId="0" applyFont="1" applyFill="1" applyBorder="1" applyAlignment="1">
      <alignment horizontal="center" vertical="center"/>
    </xf>
    <xf numFmtId="0" fontId="2" fillId="6" borderId="61" xfId="0" applyFont="1" applyFill="1" applyBorder="1" applyAlignment="1">
      <alignment horizontal="center" vertical="top" textRotation="255" shrinkToFit="1"/>
    </xf>
    <xf numFmtId="49" fontId="3" fillId="6" borderId="90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 textRotation="255" shrinkToFit="1"/>
    </xf>
    <xf numFmtId="0" fontId="5" fillId="3" borderId="6" xfId="0" applyFont="1" applyFill="1" applyBorder="1" applyAlignment="1">
      <alignment horizontal="center" vertical="center" shrinkToFit="1"/>
    </xf>
    <xf numFmtId="0" fontId="5" fillId="3" borderId="27" xfId="0" applyFont="1" applyFill="1" applyBorder="1" applyAlignment="1">
      <alignment horizontal="center" vertical="center" shrinkToFit="1"/>
    </xf>
    <xf numFmtId="0" fontId="2" fillId="7" borderId="105" xfId="0" applyFont="1" applyFill="1" applyBorder="1" applyAlignment="1">
      <alignment horizontal="center" vertical="center" textRotation="255"/>
    </xf>
    <xf numFmtId="0" fontId="15" fillId="2" borderId="1" xfId="0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5" xfId="0" applyFont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7" fillId="0" borderId="26" xfId="0" applyFont="1" applyBorder="1" applyAlignment="1">
      <alignment vertical="center"/>
    </xf>
    <xf numFmtId="0" fontId="17" fillId="0" borderId="88" xfId="0" applyFont="1" applyBorder="1" applyAlignment="1">
      <alignment vertical="center"/>
    </xf>
    <xf numFmtId="0" fontId="16" fillId="0" borderId="89" xfId="0" applyFont="1" applyBorder="1" applyAlignment="1">
      <alignment horizontal="center" vertical="center"/>
    </xf>
    <xf numFmtId="0" fontId="16" fillId="0" borderId="89" xfId="0" applyFont="1" applyBorder="1" applyAlignment="1">
      <alignment vertical="center"/>
    </xf>
    <xf numFmtId="0" fontId="16" fillId="0" borderId="26" xfId="0" applyFont="1" applyBorder="1" applyAlignment="1">
      <alignment vertical="center"/>
    </xf>
    <xf numFmtId="0" fontId="16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vertical="center"/>
    </xf>
    <xf numFmtId="0" fontId="17" fillId="0" borderId="6" xfId="0" applyFont="1" applyBorder="1" applyAlignment="1">
      <alignment vertical="center"/>
    </xf>
  </cellXfs>
  <cellStyles count="1">
    <cellStyle name="標準" xfId="0" builtinId="0"/>
  </cellStyles>
  <dxfs count="55">
    <dxf>
      <font>
        <color auto="1"/>
      </font>
      <fill>
        <patternFill>
          <bgColor rgb="FFFFE7E7"/>
        </patternFill>
      </fill>
    </dxf>
    <dxf>
      <fill>
        <patternFill>
          <bgColor rgb="FFDDF4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メイリオ"/>
        <family val="3"/>
        <charset val="128"/>
        <scheme val="none"/>
      </font>
      <numFmt numFmtId="176" formatCode="General\ &quot;中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メイリオ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メイリオ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メイリオ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メイリオ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メイリオ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top style="thin">
          <color theme="0" tint="-4.9989318521683403E-2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メイリオ"/>
        <family val="3"/>
        <charset val="128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 tint="-4.9989318521683403E-2"/>
        <name val="メイリオ"/>
        <family val="3"/>
        <charset val="128"/>
        <scheme val="none"/>
      </font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メイリオ"/>
        <family val="3"/>
        <charset val="128"/>
        <scheme val="none"/>
      </font>
      <numFmt numFmtId="176" formatCode="General\ &quot;中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メイリオ"/>
        <family val="3"/>
        <charset val="128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メイリオ"/>
        <family val="3"/>
        <charset val="128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メイリオ"/>
        <family val="3"/>
        <charset val="128"/>
        <scheme val="none"/>
      </font>
      <numFmt numFmtId="176" formatCode="General\ &quot;中&quot;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メイリオ"/>
        <family val="3"/>
        <charset val="128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top style="thin">
          <color theme="0" tint="-4.9989318521683403E-2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メイリオ"/>
        <family val="3"/>
        <charset val="128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 tint="-4.9989318521683403E-2"/>
        <name val="メイリオ"/>
        <family val="3"/>
        <charset val="128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/>
        <bottom/>
      </border>
    </dxf>
    <dxf>
      <font>
        <strike val="0"/>
        <outline val="0"/>
        <shadow val="0"/>
        <u val="none"/>
        <vertAlign val="baseline"/>
        <sz val="14"/>
        <name val="メイリオ"/>
        <family val="3"/>
        <charset val="128"/>
        <scheme val="none"/>
      </font>
      <numFmt numFmtId="176" formatCode="General\ &quot;中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メイリオ"/>
        <family val="3"/>
        <charset val="128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メイリオ"/>
        <family val="3"/>
        <charset val="128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メイリオ"/>
        <family val="3"/>
        <charset val="128"/>
        <scheme val="none"/>
      </font>
      <numFmt numFmtId="176" formatCode="General\ &quot;中&quot;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メイリオ"/>
        <family val="3"/>
        <charset val="128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top style="thin">
          <color theme="0" tint="-4.9989318521683403E-2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メイリオ"/>
        <family val="3"/>
        <charset val="128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 tint="-4.9989318521683403E-2"/>
        <name val="メイリオ"/>
        <family val="3"/>
        <charset val="128"/>
        <scheme val="none"/>
      </font>
      <fill>
        <patternFill patternType="solid">
          <fgColor indexed="64"/>
          <bgColor rgb="FFC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/>
        <bottom/>
      </border>
    </dxf>
    <dxf>
      <font>
        <strike val="0"/>
        <outline val="0"/>
        <shadow val="0"/>
        <u val="none"/>
        <vertAlign val="baseline"/>
        <sz val="18"/>
        <name val="メイリオ"/>
        <family val="3"/>
        <charset val="128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メイリオ"/>
        <family val="3"/>
        <charset val="128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メイリオ"/>
        <family val="3"/>
        <charset val="128"/>
        <scheme val="none"/>
      </font>
      <fill>
        <patternFill patternType="none">
          <fgColor theme="4" tint="0.79998168889431442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メイリオ"/>
        <family val="3"/>
        <charset val="128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メイリオ"/>
        <family val="3"/>
        <charset val="128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name val="メイリオ"/>
        <family val="3"/>
        <charset val="128"/>
        <scheme val="none"/>
      </font>
      <fill>
        <patternFill patternType="solid">
          <fgColor indexed="64"/>
          <bgColor rgb="FFC00000"/>
        </patternFill>
      </fill>
    </dxf>
    <dxf>
      <font>
        <strike val="0"/>
        <outline val="0"/>
        <shadow val="0"/>
        <u val="none"/>
        <vertAlign val="baseline"/>
        <sz val="18"/>
        <name val="メイリオ"/>
        <family val="3"/>
        <charset val="128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メイリオ"/>
        <family val="3"/>
        <charset val="128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メイリオ"/>
        <family val="3"/>
        <charset val="128"/>
        <scheme val="none"/>
      </font>
      <fill>
        <patternFill patternType="none">
          <fgColor theme="4" tint="0.79998168889431442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メイリオ"/>
        <family val="3"/>
        <charset val="128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メイリオ"/>
        <family val="3"/>
        <charset val="128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name val="メイリオ"/>
        <family val="3"/>
        <charset val="128"/>
        <scheme val="none"/>
      </font>
      <fill>
        <patternFill patternType="solid">
          <fgColor indexed="64"/>
          <bgColor theme="4" tint="-0.249977111117893"/>
        </patternFill>
      </fill>
    </dxf>
    <dxf>
      <font>
        <strike val="0"/>
        <outline val="0"/>
        <shadow val="0"/>
        <u val="none"/>
        <vertAlign val="baseline"/>
        <sz val="18"/>
        <name val="メイリオ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メイリオ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メイリオ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メイリオ"/>
        <family val="3"/>
        <charset val="128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メイリオ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メイリオ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メイリオ"/>
        <family val="3"/>
        <charset val="12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name val="メイリオ"/>
        <family val="3"/>
        <charset val="128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DDF4FF"/>
      <color rgb="FFFFE7E7"/>
      <color rgb="FFFFD3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EAACD3-D210-4834-95EA-73845B2D4FD4}" name="テーブル1" displayName="テーブル1" ref="C3:H19" totalsRowShown="0" headerRowDxfId="54" dataDxfId="53">
  <tableColumns count="6">
    <tableColumn id="1" xr3:uid="{20900600-040C-49DF-A742-6BD9784647F5}" name="順位" dataDxfId="52"/>
    <tableColumn id="2" xr3:uid="{876338C7-8CCB-44DD-8E94-9F175DB1D192}" name="チーム名" dataDxfId="51">
      <calculatedColumnFormula>INDEX(T:T,MATCH(B4,V:V,0))</calculatedColumnFormula>
    </tableColumn>
    <tableColumn id="3" xr3:uid="{430C7D3A-089E-4B97-951D-783AF1758A3D}" name="総本数" dataDxfId="50">
      <calculatedColumnFormula>IF(D4="","",INDEX(X:X,MATCH(D4,T:T,0)))</calculatedColumnFormula>
    </tableColumn>
    <tableColumn id="4" xr3:uid="{C9E783B9-797F-44B3-90C9-19FB0877BD94}" name="男女" dataDxfId="49">
      <calculatedColumnFormula>IF(D4="","",INDEX(U:U,MATCH(D4,T:T,0)))</calculatedColumnFormula>
    </tableColumn>
    <tableColumn id="5" xr3:uid="{8119CB0E-6781-4F3A-A9E0-3CFA0DD1E392}" name="列2" dataDxfId="48">
      <calculatedColumnFormula>IF($F4="男",ROW(),"")</calculatedColumnFormula>
    </tableColumn>
    <tableColumn id="6" xr3:uid="{C2C0154E-BF75-4255-97FD-934219C45BE3}" name="列3" dataDxfId="47">
      <calculatedColumnFormula>IF($F4="女",ROW(),"")</calculatedColumn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6F4E96-4082-42D5-B479-DCDD6279EEDE}" name="テーブル2" displayName="テーブル2" ref="J3:M19" totalsRowShown="0" headerRowDxfId="46" dataDxfId="45" tableBorderDxfId="44">
  <tableColumns count="4">
    <tableColumn id="1" xr3:uid="{F7D94667-6B4A-4BA4-AA09-95D73C6E263A}" name="順位" dataDxfId="43"/>
    <tableColumn id="2" xr3:uid="{0E691B68-B35D-4796-A8CE-88CB0433FC7E}" name="チーム名" dataDxfId="42">
      <calculatedColumnFormula>IF(COUNT(G:G)&lt;ROW(A1),"",INDEX(D:D,SMALL(G:G,ROW(A1))))</calculatedColumnFormula>
    </tableColumn>
    <tableColumn id="3" xr3:uid="{BE4B153E-4E1B-4749-85E1-8553357679DE}" name="総本数" dataDxfId="41">
      <calculatedColumnFormula>IF(K4="","",INDEX(E:E,MATCH(K4,D:D,0)))</calculatedColumnFormula>
    </tableColumn>
    <tableColumn id="4" xr3:uid="{F0C6B59D-0086-444A-A650-4BA1A9336B09}" name="列1" dataDxfId="40">
      <calculatedColumnFormula>IF(K4="","",INDEX(AC:AC,MATCH(K4,T:T,0)))</calculatedColumnFormula>
    </tableColumn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A5336E-780E-463B-9193-CE8C917B04FA}" name="テーブル3" displayName="テーブル3" ref="O3:R19" totalsRowShown="0" headerRowDxfId="39" dataDxfId="38" tableBorderDxfId="37">
  <tableColumns count="4">
    <tableColumn id="1" xr3:uid="{597B4493-AA4B-49D0-9F74-551E42D32FCF}" name="順位" dataDxfId="36"/>
    <tableColumn id="2" xr3:uid="{1B8973F3-2E72-4522-807E-931E59A20265}" name="チーム名" dataDxfId="35">
      <calculatedColumnFormula>IF(COUNT(H:H)&lt;ROW(A1),"",INDEX(D:D,SMALL(H:H,ROW(A1))))</calculatedColumnFormula>
    </tableColumn>
    <tableColumn id="3" xr3:uid="{394AD2F9-7531-4C41-8021-AA28F9C63123}" name="総本数" dataDxfId="34">
      <calculatedColumnFormula>IF(P4="","",INDEX(E:E,MATCH(P4,D:D,0)))</calculatedColumnFormula>
    </tableColumn>
    <tableColumn id="4" xr3:uid="{483619F4-75FC-433D-BB0D-21213ABE028F}" name="列1" dataDxfId="33">
      <calculatedColumnFormula>IF(P4="","",INDEX(AC:AC,MATCH(P4,T:T,0)))</calculatedColumnFormula>
    </tableColumn>
  </tableColumns>
  <tableStyleInfo name="TableStyleLight1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4D0B689-5302-430A-9A25-775533858976}" name="テーブル6" displayName="テーブル6" ref="S2:W66" totalsRowShown="0" headerRowDxfId="32" dataDxfId="30" headerRowBorderDxfId="31" tableBorderDxfId="29" totalsRowBorderDxfId="28">
  <tableColumns count="5">
    <tableColumn id="1" xr3:uid="{99232EBC-5619-4A37-BD9A-C1900A58DE4A}" name="順位" dataDxfId="27">
      <calculatedColumnFormula>IF(V3="","",_xlfn.RANK.EQ(X3,X:X))</calculatedColumnFormula>
    </tableColumn>
    <tableColumn id="2" xr3:uid="{2DEEBFB8-E377-40A3-8756-FD9061FA1DB2}" name="チーム" dataDxfId="26">
      <calculatedColumnFormula>IF(V3="","",INDEX(D:D,MATCH(V3,F:F,0)))</calculatedColumnFormula>
    </tableColumn>
    <tableColumn id="3" xr3:uid="{B2A87F1E-023D-41B3-B7A5-EE352B61B25C}" name="No." dataDxfId="25">
      <calculatedColumnFormula>IF(V3="","",INDEX(E:E,MATCH(V3,F:F,0)))</calculatedColumnFormula>
    </tableColumn>
    <tableColumn id="4" xr3:uid="{5F8BF404-1C12-40AB-811B-76D9F5181BDC}" name="氏名" dataDxfId="24">
      <calculatedColumnFormula>IF(COUNT(J:J)&lt;ROW(B1),"",INDEX(F:F,SMALL(J:J,ROW(B1))))</calculatedColumnFormula>
    </tableColumn>
    <tableColumn id="5" xr3:uid="{FAF49A76-5DB8-4499-8110-35B220C4FF14}" name="総本数" dataDxfId="23">
      <calculatedColumnFormula>IF(V3="","",INDEX(H:H,MATCH(V3,F:F,0)))</calculatedColumnFormula>
    </tableColumn>
  </tableColumns>
  <tableStyleInfo name="TableStyleLight1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A8AD49A-DF05-4F44-945E-99CCB8D9602A}" name="テーブル7" displayName="テーブル7" ref="L2:P66" totalsRowShown="0" headerRowDxfId="22" dataDxfId="20" headerRowBorderDxfId="21" tableBorderDxfId="19" totalsRowBorderDxfId="18">
  <tableColumns count="5">
    <tableColumn id="1" xr3:uid="{E67FFFF9-58BC-442C-AD9B-50F728A15444}" name="順位" dataDxfId="17">
      <calculatedColumnFormula>IF(O3="","",_xlfn.RANK.EQ(Q3,Q:Q))</calculatedColumnFormula>
    </tableColumn>
    <tableColumn id="2" xr3:uid="{3A364DDE-548D-4AC4-966D-13ED780E5EA4}" name="チーム" dataDxfId="16">
      <calculatedColumnFormula>IF(O3="","",INDEX(D:D,MATCH(O3,F:F,0)))</calculatedColumnFormula>
    </tableColumn>
    <tableColumn id="3" xr3:uid="{03A78E27-B2BE-4A20-A99F-E4CB5FB0D1A8}" name="No." dataDxfId="15">
      <calculatedColumnFormula>IF(O3="","",INDEX(E:E,MATCH(O3,F:F,0)))</calculatedColumnFormula>
    </tableColumn>
    <tableColumn id="4" xr3:uid="{97857E69-653A-4DD4-B1F3-C12AAD00F345}" name="氏名" dataDxfId="14">
      <calculatedColumnFormula>IF(COUNT(I:I)&lt;ROW(B1),"",INDEX(F:F,SMALL(I:I,ROW(B1))))</calculatedColumnFormula>
    </tableColumn>
    <tableColumn id="5" xr3:uid="{A7FD2462-D34C-471B-BE7F-89EBC89BCEE1}" name="総本数" dataDxfId="13">
      <calculatedColumnFormula>IF(O3="","",INDEX(H:H,MATCH(O3,F:F,0)))</calculatedColumnFormula>
    </tableColumn>
  </tableColumns>
  <tableStyleInfo name="TableStyleLight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C9B4AD4-1BD8-4F11-9ECA-DD00EE002C70}" name="テーブル8" displayName="テーブル8" ref="C2:H66" totalsRowShown="0" headerRowDxfId="12" dataDxfId="10" headerRowBorderDxfId="11" tableBorderDxfId="9" totalsRowBorderDxfId="8">
  <tableColumns count="6">
    <tableColumn id="1" xr3:uid="{46249F50-4E25-476D-B07D-6128EC8EFF08}" name="順位" dataDxfId="7">
      <calculatedColumnFormula>SMALL(AG:AG, B3)</calculatedColumnFormula>
    </tableColumn>
    <tableColumn id="2" xr3:uid="{29518D2F-9900-47AA-98D4-8A847DB9D6A5}" name="チーム" dataDxfId="6">
      <calculatedColumnFormula>INDEX(Z:Z,MATCH(B3,AF:AF,0))</calculatedColumnFormula>
    </tableColumn>
    <tableColumn id="3" xr3:uid="{79924442-E5D2-4C22-AAF2-67B322FB861C}" name="No." dataDxfId="5">
      <calculatedColumnFormula>INDEX(AA:AA,MATCH(B3,AF:AF,0))</calculatedColumnFormula>
    </tableColumn>
    <tableColumn id="4" xr3:uid="{875C3282-E6E9-487A-8926-78726D740A80}" name="氏名" dataDxfId="4">
      <calculatedColumnFormula>INDEX(AB:AB,MATCH(B3,AF:AF,0))</calculatedColumnFormula>
    </tableColumn>
    <tableColumn id="5" xr3:uid="{DBD3DB3E-F9D2-4C28-ABC6-A71078A4AAD1}" name="性別" dataDxfId="3">
      <calculatedColumnFormula>INDEX(AC:AC,MATCH(B3,AF:AF,0))</calculatedColumnFormula>
    </tableColumn>
    <tableColumn id="6" xr3:uid="{C91D5587-4F44-4FB7-B79D-BA2C55AA1461}" name="総本数" dataDxfId="2">
      <calculatedColumnFormula>INDEX(AD:AD,MATCH(F3,AB:AB,0))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21"/>
  <sheetViews>
    <sheetView showGridLines="0" tabSelected="1" workbookViewId="0"/>
  </sheetViews>
  <sheetFormatPr defaultRowHeight="30.5" customHeight="1" x14ac:dyDescent="0.55000000000000004"/>
  <cols>
    <col min="1" max="1" width="3.58203125" style="232" customWidth="1"/>
    <col min="2" max="2" width="15.58203125" style="232" customWidth="1"/>
    <col min="3" max="3" width="7" style="232" bestFit="1" customWidth="1"/>
    <col min="4" max="4" width="23.58203125" style="232" customWidth="1"/>
    <col min="5" max="5" width="7.6640625" style="232" bestFit="1" customWidth="1"/>
    <col min="6" max="6" width="3.58203125" style="232" customWidth="1"/>
    <col min="7" max="7" width="15.58203125" style="232" customWidth="1"/>
    <col min="8" max="8" width="7" style="232" bestFit="1" customWidth="1"/>
    <col min="9" max="9" width="23.58203125" style="232" customWidth="1"/>
    <col min="10" max="10" width="7.6640625" style="232" bestFit="1" customWidth="1"/>
    <col min="11" max="11" width="3.58203125" style="232" customWidth="1"/>
    <col min="12" max="12" width="15.58203125" style="232" customWidth="1"/>
    <col min="13" max="13" width="7" style="232" bestFit="1" customWidth="1"/>
    <col min="14" max="14" width="23.58203125" style="232" customWidth="1"/>
    <col min="15" max="15" width="7.6640625" style="232" bestFit="1" customWidth="1"/>
    <col min="16" max="16" width="8.6640625" style="232"/>
    <col min="17" max="20" width="0" style="232" hidden="1" customWidth="1"/>
    <col min="21" max="16384" width="8.6640625" style="232"/>
  </cols>
  <sheetData>
    <row r="1" spans="2:20" ht="30.5" customHeight="1" x14ac:dyDescent="0.55000000000000004">
      <c r="B1" s="231" t="s">
        <v>2</v>
      </c>
      <c r="C1" s="231" t="s">
        <v>18</v>
      </c>
      <c r="D1" s="231" t="s">
        <v>0</v>
      </c>
      <c r="E1" s="231" t="s">
        <v>1</v>
      </c>
      <c r="G1" s="231" t="s">
        <v>2</v>
      </c>
      <c r="H1" s="231" t="s">
        <v>18</v>
      </c>
      <c r="I1" s="231" t="s">
        <v>0</v>
      </c>
      <c r="J1" s="231" t="s">
        <v>1</v>
      </c>
      <c r="L1" s="231" t="s">
        <v>2</v>
      </c>
      <c r="M1" s="231" t="s">
        <v>18</v>
      </c>
      <c r="N1" s="231" t="s">
        <v>0</v>
      </c>
      <c r="O1" s="231" t="s">
        <v>1</v>
      </c>
    </row>
    <row r="2" spans="2:20" ht="30.5" customHeight="1" x14ac:dyDescent="0.55000000000000004">
      <c r="B2" s="233" t="s">
        <v>126</v>
      </c>
      <c r="C2" s="234">
        <v>1</v>
      </c>
      <c r="D2" s="235" t="s">
        <v>61</v>
      </c>
      <c r="E2" s="234" t="s">
        <v>30</v>
      </c>
      <c r="G2" s="233" t="s">
        <v>44</v>
      </c>
      <c r="H2" s="234">
        <v>21</v>
      </c>
      <c r="I2" s="235" t="s">
        <v>84</v>
      </c>
      <c r="J2" s="234" t="s">
        <v>30</v>
      </c>
      <c r="L2" s="233" t="s">
        <v>54</v>
      </c>
      <c r="M2" s="234">
        <v>41</v>
      </c>
      <c r="N2" s="235" t="s">
        <v>100</v>
      </c>
      <c r="O2" s="234" t="s">
        <v>30</v>
      </c>
      <c r="Q2" s="240"/>
      <c r="R2" s="241"/>
      <c r="S2" s="242"/>
      <c r="T2" s="241"/>
    </row>
    <row r="3" spans="2:20" ht="30.5" customHeight="1" x14ac:dyDescent="0.55000000000000004">
      <c r="B3" s="236" t="s">
        <v>126</v>
      </c>
      <c r="C3" s="234">
        <v>2</v>
      </c>
      <c r="D3" s="235" t="s">
        <v>62</v>
      </c>
      <c r="E3" s="234" t="s">
        <v>30</v>
      </c>
      <c r="G3" s="236" t="s">
        <v>43</v>
      </c>
      <c r="H3" s="234">
        <v>22</v>
      </c>
      <c r="I3" s="235" t="s">
        <v>85</v>
      </c>
      <c r="J3" s="234" t="s">
        <v>30</v>
      </c>
      <c r="L3" s="236" t="s">
        <v>53</v>
      </c>
      <c r="M3" s="234">
        <v>42</v>
      </c>
      <c r="N3" s="235" t="s">
        <v>102</v>
      </c>
      <c r="O3" s="234" t="s">
        <v>30</v>
      </c>
      <c r="Q3" s="236"/>
      <c r="R3" s="234"/>
      <c r="S3" s="235"/>
      <c r="T3" s="234"/>
    </row>
    <row r="4" spans="2:20" ht="30.5" customHeight="1" x14ac:dyDescent="0.55000000000000004">
      <c r="B4" s="236" t="s">
        <v>126</v>
      </c>
      <c r="C4" s="234">
        <v>3</v>
      </c>
      <c r="D4" s="235" t="s">
        <v>63</v>
      </c>
      <c r="E4" s="234" t="s">
        <v>29</v>
      </c>
      <c r="G4" s="236" t="s">
        <v>43</v>
      </c>
      <c r="H4" s="234">
        <v>23</v>
      </c>
      <c r="I4" s="235" t="s">
        <v>86</v>
      </c>
      <c r="J4" s="234" t="s">
        <v>30</v>
      </c>
      <c r="L4" s="236" t="s">
        <v>53</v>
      </c>
      <c r="M4" s="234">
        <v>43</v>
      </c>
      <c r="N4" s="235" t="s">
        <v>104</v>
      </c>
      <c r="O4" s="234" t="s">
        <v>30</v>
      </c>
      <c r="Q4" s="236"/>
      <c r="R4" s="234"/>
      <c r="S4" s="235"/>
      <c r="T4" s="234"/>
    </row>
    <row r="5" spans="2:20" ht="30.5" customHeight="1" thickBot="1" x14ac:dyDescent="0.6">
      <c r="B5" s="237" t="s">
        <v>126</v>
      </c>
      <c r="C5" s="238">
        <v>4</v>
      </c>
      <c r="D5" s="239" t="s">
        <v>64</v>
      </c>
      <c r="E5" s="238" t="s">
        <v>29</v>
      </c>
      <c r="G5" s="237" t="s">
        <v>43</v>
      </c>
      <c r="H5" s="238">
        <v>24</v>
      </c>
      <c r="I5" s="239" t="s">
        <v>87</v>
      </c>
      <c r="J5" s="238" t="s">
        <v>30</v>
      </c>
      <c r="L5" s="237" t="s">
        <v>53</v>
      </c>
      <c r="M5" s="238">
        <v>44</v>
      </c>
      <c r="N5" s="239" t="s">
        <v>106</v>
      </c>
      <c r="O5" s="238" t="s">
        <v>30</v>
      </c>
      <c r="Q5" s="243"/>
      <c r="R5" s="234"/>
      <c r="S5" s="235"/>
      <c r="T5" s="234"/>
    </row>
    <row r="6" spans="2:20" ht="30.5" customHeight="1" thickTop="1" x14ac:dyDescent="0.55000000000000004">
      <c r="B6" s="240" t="s">
        <v>127</v>
      </c>
      <c r="C6" s="241">
        <v>5</v>
      </c>
      <c r="D6" s="242" t="s">
        <v>66</v>
      </c>
      <c r="E6" s="241" t="s">
        <v>30</v>
      </c>
      <c r="G6" s="240" t="s">
        <v>46</v>
      </c>
      <c r="H6" s="241">
        <v>25</v>
      </c>
      <c r="I6" s="242" t="s">
        <v>98</v>
      </c>
      <c r="J6" s="241" t="s">
        <v>29</v>
      </c>
      <c r="L6" s="240" t="s">
        <v>56</v>
      </c>
      <c r="M6" s="241">
        <v>45</v>
      </c>
      <c r="N6" s="242" t="s">
        <v>108</v>
      </c>
      <c r="O6" s="241" t="s">
        <v>29</v>
      </c>
      <c r="Q6" s="233"/>
      <c r="R6" s="234"/>
      <c r="S6" s="235"/>
      <c r="T6" s="234"/>
    </row>
    <row r="7" spans="2:20" ht="30.5" customHeight="1" x14ac:dyDescent="0.55000000000000004">
      <c r="B7" s="236" t="s">
        <v>127</v>
      </c>
      <c r="C7" s="234">
        <v>6</v>
      </c>
      <c r="D7" s="235" t="s">
        <v>68</v>
      </c>
      <c r="E7" s="234" t="s">
        <v>29</v>
      </c>
      <c r="G7" s="236" t="s">
        <v>45</v>
      </c>
      <c r="H7" s="234">
        <v>26</v>
      </c>
      <c r="I7" s="235" t="s">
        <v>96</v>
      </c>
      <c r="J7" s="234" t="s">
        <v>29</v>
      </c>
      <c r="L7" s="236" t="s">
        <v>55</v>
      </c>
      <c r="M7" s="234">
        <v>46</v>
      </c>
      <c r="N7" s="235" t="s">
        <v>110</v>
      </c>
      <c r="O7" s="234" t="s">
        <v>29</v>
      </c>
      <c r="Q7" s="236"/>
      <c r="R7" s="234"/>
      <c r="S7" s="235"/>
      <c r="T7" s="234"/>
    </row>
    <row r="8" spans="2:20" ht="30.5" customHeight="1" x14ac:dyDescent="0.55000000000000004">
      <c r="B8" s="236" t="s">
        <v>127</v>
      </c>
      <c r="C8" s="234">
        <v>7</v>
      </c>
      <c r="D8" s="235" t="s">
        <v>70</v>
      </c>
      <c r="E8" s="234" t="s">
        <v>29</v>
      </c>
      <c r="G8" s="236" t="s">
        <v>45</v>
      </c>
      <c r="H8" s="234">
        <v>27</v>
      </c>
      <c r="I8" s="235" t="s">
        <v>94</v>
      </c>
      <c r="J8" s="234" t="s">
        <v>29</v>
      </c>
      <c r="L8" s="236" t="s">
        <v>55</v>
      </c>
      <c r="M8" s="234">
        <v>47</v>
      </c>
      <c r="N8" s="235" t="s">
        <v>122</v>
      </c>
      <c r="O8" s="234" t="s">
        <v>29</v>
      </c>
      <c r="Q8" s="236"/>
      <c r="R8" s="234"/>
      <c r="S8" s="235"/>
      <c r="T8" s="234"/>
    </row>
    <row r="9" spans="2:20" ht="30.5" customHeight="1" thickBot="1" x14ac:dyDescent="0.6">
      <c r="B9" s="237" t="s">
        <v>127</v>
      </c>
      <c r="C9" s="238">
        <v>8</v>
      </c>
      <c r="D9" s="239" t="s">
        <v>72</v>
      </c>
      <c r="E9" s="238" t="s">
        <v>30</v>
      </c>
      <c r="G9" s="237" t="s">
        <v>45</v>
      </c>
      <c r="H9" s="238">
        <v>28</v>
      </c>
      <c r="I9" s="239" t="s">
        <v>92</v>
      </c>
      <c r="J9" s="238" t="s">
        <v>29</v>
      </c>
      <c r="L9" s="237" t="s">
        <v>55</v>
      </c>
      <c r="M9" s="238">
        <v>48</v>
      </c>
      <c r="N9" s="239" t="s">
        <v>113</v>
      </c>
      <c r="O9" s="238" t="s">
        <v>29</v>
      </c>
      <c r="Q9" s="243"/>
      <c r="R9" s="234"/>
      <c r="S9" s="235"/>
      <c r="T9" s="234"/>
    </row>
    <row r="10" spans="2:20" ht="30.5" customHeight="1" thickTop="1" x14ac:dyDescent="0.55000000000000004">
      <c r="B10" s="240" t="s">
        <v>38</v>
      </c>
      <c r="C10" s="241">
        <v>9</v>
      </c>
      <c r="D10" s="242" t="s">
        <v>73</v>
      </c>
      <c r="E10" s="241" t="s">
        <v>30</v>
      </c>
      <c r="G10" s="240" t="s">
        <v>48</v>
      </c>
      <c r="H10" s="241">
        <v>29</v>
      </c>
      <c r="I10" s="242" t="s">
        <v>99</v>
      </c>
      <c r="J10" s="241" t="s">
        <v>30</v>
      </c>
      <c r="L10" s="240" t="s">
        <v>58</v>
      </c>
      <c r="M10" s="241">
        <v>49</v>
      </c>
      <c r="N10" s="242" t="s">
        <v>101</v>
      </c>
      <c r="O10" s="241" t="s">
        <v>30</v>
      </c>
    </row>
    <row r="11" spans="2:20" ht="30.5" customHeight="1" x14ac:dyDescent="0.55000000000000004">
      <c r="B11" s="236" t="s">
        <v>37</v>
      </c>
      <c r="C11" s="234">
        <v>10</v>
      </c>
      <c r="D11" s="235" t="s">
        <v>74</v>
      </c>
      <c r="E11" s="234" t="s">
        <v>30</v>
      </c>
      <c r="G11" s="236" t="s">
        <v>47</v>
      </c>
      <c r="H11" s="234">
        <v>30</v>
      </c>
      <c r="I11" s="235" t="s">
        <v>97</v>
      </c>
      <c r="J11" s="234" t="s">
        <v>30</v>
      </c>
      <c r="L11" s="236" t="s">
        <v>57</v>
      </c>
      <c r="M11" s="234">
        <v>50</v>
      </c>
      <c r="N11" s="235" t="s">
        <v>103</v>
      </c>
      <c r="O11" s="234" t="s">
        <v>30</v>
      </c>
    </row>
    <row r="12" spans="2:20" ht="30.5" customHeight="1" x14ac:dyDescent="0.55000000000000004">
      <c r="B12" s="236" t="s">
        <v>37</v>
      </c>
      <c r="C12" s="234">
        <v>11</v>
      </c>
      <c r="D12" s="235" t="s">
        <v>75</v>
      </c>
      <c r="E12" s="234" t="s">
        <v>29</v>
      </c>
      <c r="G12" s="236" t="s">
        <v>47</v>
      </c>
      <c r="H12" s="234">
        <v>31</v>
      </c>
      <c r="I12" s="235" t="s">
        <v>95</v>
      </c>
      <c r="J12" s="234" t="s">
        <v>30</v>
      </c>
      <c r="L12" s="236" t="s">
        <v>57</v>
      </c>
      <c r="M12" s="234">
        <v>51</v>
      </c>
      <c r="N12" s="235" t="s">
        <v>105</v>
      </c>
      <c r="O12" s="234" t="s">
        <v>30</v>
      </c>
    </row>
    <row r="13" spans="2:20" ht="30.5" customHeight="1" thickBot="1" x14ac:dyDescent="0.6">
      <c r="B13" s="237" t="s">
        <v>37</v>
      </c>
      <c r="C13" s="238">
        <v>12</v>
      </c>
      <c r="D13" s="239" t="s">
        <v>76</v>
      </c>
      <c r="E13" s="238" t="s">
        <v>30</v>
      </c>
      <c r="G13" s="237" t="s">
        <v>47</v>
      </c>
      <c r="H13" s="238">
        <v>32</v>
      </c>
      <c r="I13" s="239" t="s">
        <v>93</v>
      </c>
      <c r="J13" s="238" t="s">
        <v>30</v>
      </c>
      <c r="L13" s="237" t="s">
        <v>57</v>
      </c>
      <c r="M13" s="238">
        <v>52</v>
      </c>
      <c r="N13" s="239" t="s">
        <v>107</v>
      </c>
      <c r="O13" s="238" t="s">
        <v>30</v>
      </c>
    </row>
    <row r="14" spans="2:20" ht="30.5" customHeight="1" thickTop="1" x14ac:dyDescent="0.55000000000000004">
      <c r="B14" s="240" t="s">
        <v>40</v>
      </c>
      <c r="C14" s="241">
        <v>13</v>
      </c>
      <c r="D14" s="242" t="s">
        <v>77</v>
      </c>
      <c r="E14" s="241" t="s">
        <v>30</v>
      </c>
      <c r="G14" s="240" t="s">
        <v>50</v>
      </c>
      <c r="H14" s="241">
        <v>33</v>
      </c>
      <c r="I14" s="242" t="s">
        <v>91</v>
      </c>
      <c r="J14" s="241" t="s">
        <v>29</v>
      </c>
      <c r="L14" s="240" t="s">
        <v>60</v>
      </c>
      <c r="M14" s="241">
        <v>53</v>
      </c>
      <c r="N14" s="242" t="s">
        <v>109</v>
      </c>
      <c r="O14" s="241" t="s">
        <v>29</v>
      </c>
    </row>
    <row r="15" spans="2:20" ht="30.5" customHeight="1" x14ac:dyDescent="0.55000000000000004">
      <c r="B15" s="236" t="s">
        <v>39</v>
      </c>
      <c r="C15" s="234">
        <v>14</v>
      </c>
      <c r="D15" s="235" t="s">
        <v>78</v>
      </c>
      <c r="E15" s="234" t="s">
        <v>29</v>
      </c>
      <c r="G15" s="236" t="s">
        <v>49</v>
      </c>
      <c r="H15" s="234">
        <v>34</v>
      </c>
      <c r="I15" s="235" t="s">
        <v>90</v>
      </c>
      <c r="J15" s="234" t="s">
        <v>29</v>
      </c>
      <c r="L15" s="236" t="s">
        <v>59</v>
      </c>
      <c r="M15" s="234">
        <v>54</v>
      </c>
      <c r="N15" s="235" t="s">
        <v>111</v>
      </c>
      <c r="O15" s="234" t="s">
        <v>29</v>
      </c>
    </row>
    <row r="16" spans="2:20" ht="30.5" customHeight="1" x14ac:dyDescent="0.55000000000000004">
      <c r="B16" s="236" t="s">
        <v>39</v>
      </c>
      <c r="C16" s="234">
        <v>15</v>
      </c>
      <c r="D16" s="235" t="s">
        <v>123</v>
      </c>
      <c r="E16" s="234" t="s">
        <v>30</v>
      </c>
      <c r="G16" s="236" t="s">
        <v>49</v>
      </c>
      <c r="H16" s="234">
        <v>35</v>
      </c>
      <c r="I16" s="235" t="s">
        <v>89</v>
      </c>
      <c r="J16" s="234" t="s">
        <v>29</v>
      </c>
      <c r="L16" s="236" t="s">
        <v>59</v>
      </c>
      <c r="M16" s="234">
        <v>55</v>
      </c>
      <c r="N16" s="235" t="s">
        <v>112</v>
      </c>
      <c r="O16" s="234" t="s">
        <v>29</v>
      </c>
    </row>
    <row r="17" spans="2:15" ht="30.5" customHeight="1" thickBot="1" x14ac:dyDescent="0.6">
      <c r="B17" s="237" t="s">
        <v>39</v>
      </c>
      <c r="C17" s="238">
        <v>16</v>
      </c>
      <c r="D17" s="239" t="s">
        <v>79</v>
      </c>
      <c r="E17" s="238" t="s">
        <v>29</v>
      </c>
      <c r="G17" s="237" t="s">
        <v>49</v>
      </c>
      <c r="H17" s="238">
        <v>36</v>
      </c>
      <c r="I17" s="239" t="s">
        <v>88</v>
      </c>
      <c r="J17" s="238" t="s">
        <v>29</v>
      </c>
      <c r="L17" s="237" t="s">
        <v>60</v>
      </c>
      <c r="M17" s="238">
        <v>56</v>
      </c>
      <c r="N17" s="239" t="s">
        <v>114</v>
      </c>
      <c r="O17" s="238" t="s">
        <v>29</v>
      </c>
    </row>
    <row r="18" spans="2:15" ht="30.5" customHeight="1" thickTop="1" x14ac:dyDescent="0.55000000000000004">
      <c r="B18" s="240" t="s">
        <v>42</v>
      </c>
      <c r="C18" s="241">
        <v>17</v>
      </c>
      <c r="D18" s="242" t="s">
        <v>80</v>
      </c>
      <c r="E18" s="241" t="s">
        <v>30</v>
      </c>
      <c r="G18" s="240" t="s">
        <v>52</v>
      </c>
      <c r="H18" s="241">
        <v>37</v>
      </c>
      <c r="I18" s="242" t="s">
        <v>65</v>
      </c>
      <c r="J18" s="241" t="s">
        <v>29</v>
      </c>
    </row>
    <row r="19" spans="2:15" ht="30.5" customHeight="1" x14ac:dyDescent="0.55000000000000004">
      <c r="B19" s="236" t="s">
        <v>41</v>
      </c>
      <c r="C19" s="234">
        <v>18</v>
      </c>
      <c r="D19" s="235" t="s">
        <v>81</v>
      </c>
      <c r="E19" s="234" t="s">
        <v>30</v>
      </c>
      <c r="G19" s="236" t="s">
        <v>51</v>
      </c>
      <c r="H19" s="234">
        <v>38</v>
      </c>
      <c r="I19" s="235" t="s">
        <v>67</v>
      </c>
      <c r="J19" s="234" t="s">
        <v>29</v>
      </c>
    </row>
    <row r="20" spans="2:15" ht="30.5" customHeight="1" x14ac:dyDescent="0.55000000000000004">
      <c r="B20" s="236" t="s">
        <v>41</v>
      </c>
      <c r="C20" s="234">
        <v>19</v>
      </c>
      <c r="D20" s="235" t="s">
        <v>82</v>
      </c>
      <c r="E20" s="234" t="s">
        <v>30</v>
      </c>
      <c r="G20" s="236" t="s">
        <v>51</v>
      </c>
      <c r="H20" s="234">
        <v>39</v>
      </c>
      <c r="I20" s="235" t="s">
        <v>69</v>
      </c>
      <c r="J20" s="234" t="s">
        <v>29</v>
      </c>
    </row>
    <row r="21" spans="2:15" ht="30.5" customHeight="1" x14ac:dyDescent="0.55000000000000004">
      <c r="B21" s="243" t="s">
        <v>41</v>
      </c>
      <c r="C21" s="234">
        <v>20</v>
      </c>
      <c r="D21" s="235" t="s">
        <v>83</v>
      </c>
      <c r="E21" s="234" t="s">
        <v>30</v>
      </c>
      <c r="G21" s="243" t="s">
        <v>51</v>
      </c>
      <c r="H21" s="234">
        <v>40</v>
      </c>
      <c r="I21" s="235" t="s">
        <v>71</v>
      </c>
      <c r="J21" s="234" t="s">
        <v>29</v>
      </c>
    </row>
  </sheetData>
  <phoneticPr fontId="1"/>
  <dataValidations count="1">
    <dataValidation type="list" allowBlank="1" showInputMessage="1" showErrorMessage="1" sqref="E2:E21 J2:J21 T2:T9 O2:O17" xr:uid="{CDD8DF2A-0250-4A32-96FC-DB67B3A5867E}">
      <formula1>"男,女"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078BE-F5B8-4B66-88E2-E3A3D97919FC}">
  <sheetPr>
    <pageSetUpPr fitToPage="1"/>
  </sheetPr>
  <dimension ref="B1:AH54"/>
  <sheetViews>
    <sheetView zoomScaleNormal="100" workbookViewId="0">
      <selection activeCell="A19" sqref="A19"/>
    </sheetView>
  </sheetViews>
  <sheetFormatPr defaultColWidth="3.58203125" defaultRowHeight="32.5" x14ac:dyDescent="0.55000000000000004"/>
  <cols>
    <col min="1" max="1" width="3.58203125" style="64"/>
    <col min="2" max="2" width="19.5" style="171" bestFit="1" customWidth="1"/>
    <col min="3" max="22" width="8.08203125" style="64" customWidth="1"/>
    <col min="23" max="23" width="19.5" style="64" bestFit="1" customWidth="1"/>
    <col min="24" max="30" width="8.08203125" style="64" hidden="1" customWidth="1"/>
    <col min="31" max="31" width="5.1640625" style="64" hidden="1" customWidth="1"/>
    <col min="32" max="34" width="5.1640625" style="64" customWidth="1"/>
    <col min="35" max="16384" width="3.58203125" style="64"/>
  </cols>
  <sheetData>
    <row r="1" spans="2:23" ht="24.5" customHeight="1" x14ac:dyDescent="0.55000000000000004"/>
    <row r="2" spans="2:23" x14ac:dyDescent="0.55000000000000004">
      <c r="B2" s="168" t="s">
        <v>2</v>
      </c>
      <c r="C2" s="175" t="str">
        <f>選手!B18</f>
        <v>春日井A</v>
      </c>
      <c r="D2" s="175"/>
      <c r="E2" s="175"/>
      <c r="F2" s="175"/>
      <c r="G2" s="176" t="str">
        <f>選手!B14</f>
        <v>西春日井B</v>
      </c>
      <c r="H2" s="175"/>
      <c r="I2" s="175"/>
      <c r="J2" s="177"/>
      <c r="K2" s="175" t="str">
        <f>選手!B10</f>
        <v>西春日井A</v>
      </c>
      <c r="L2" s="175"/>
      <c r="M2" s="175"/>
      <c r="N2" s="175"/>
      <c r="O2" s="176" t="str">
        <f>選手!B6</f>
        <v>瀬戸B</v>
      </c>
      <c r="P2" s="175"/>
      <c r="Q2" s="175"/>
      <c r="R2" s="177"/>
      <c r="S2" s="175" t="str">
        <f>選手!B2</f>
        <v>瀬戸A</v>
      </c>
      <c r="T2" s="175"/>
      <c r="U2" s="175"/>
      <c r="V2" s="178"/>
      <c r="W2" s="168" t="s">
        <v>2</v>
      </c>
    </row>
    <row r="3" spans="2:23" x14ac:dyDescent="0.55000000000000004">
      <c r="B3" s="168" t="s">
        <v>3</v>
      </c>
      <c r="C3" s="172">
        <f t="shared" ref="C3" si="0">SUM(C5:F5)</f>
        <v>0</v>
      </c>
      <c r="D3" s="173"/>
      <c r="E3" s="173"/>
      <c r="F3" s="174"/>
      <c r="G3" s="179">
        <f t="shared" ref="G3" si="1">SUM(G5:J5)</f>
        <v>0</v>
      </c>
      <c r="H3" s="173"/>
      <c r="I3" s="173"/>
      <c r="J3" s="180"/>
      <c r="K3" s="172">
        <f t="shared" ref="K3" si="2">SUM(K5:N5)</f>
        <v>0</v>
      </c>
      <c r="L3" s="173"/>
      <c r="M3" s="173"/>
      <c r="N3" s="174"/>
      <c r="O3" s="179">
        <f t="shared" ref="O3" si="3">SUM(O5:R5)</f>
        <v>0</v>
      </c>
      <c r="P3" s="173"/>
      <c r="Q3" s="173"/>
      <c r="R3" s="180"/>
      <c r="S3" s="172">
        <f t="shared" ref="S3" si="4">SUM(S5:V5)</f>
        <v>0</v>
      </c>
      <c r="T3" s="173"/>
      <c r="U3" s="173"/>
      <c r="V3" s="173"/>
      <c r="W3" s="168" t="s">
        <v>3</v>
      </c>
    </row>
    <row r="4" spans="2:23" hidden="1" x14ac:dyDescent="0.55000000000000004">
      <c r="B4" s="168" t="s">
        <v>32</v>
      </c>
      <c r="C4" s="70">
        <f t="shared" ref="C4:V4" si="5">C5+0.1+(IF(C15="〇",1,0)*0.01)+(IF(C14="〇",1,0)*0.001)+(IF(C13="〇",1,0)*0.0001)+(IF(C12="〇",1,0)*0.00001)+(IF(C10="〇",1,0)*0.000001)+(IF(C9="〇",1,0)*0.0000001)+(IF(C8="〇",1,0)*0.00000001)+(IF(C7="〇",1,0)*0.000000001)</f>
        <v>0.1</v>
      </c>
      <c r="D4" s="66">
        <f t="shared" si="5"/>
        <v>0.1</v>
      </c>
      <c r="E4" s="66">
        <f t="shared" si="5"/>
        <v>0.1</v>
      </c>
      <c r="F4" s="67">
        <f t="shared" si="5"/>
        <v>0.1</v>
      </c>
      <c r="G4" s="68">
        <f t="shared" si="5"/>
        <v>0.1</v>
      </c>
      <c r="H4" s="66">
        <f t="shared" si="5"/>
        <v>0.1</v>
      </c>
      <c r="I4" s="66">
        <f t="shared" si="5"/>
        <v>0.1</v>
      </c>
      <c r="J4" s="69">
        <f t="shared" si="5"/>
        <v>0.1</v>
      </c>
      <c r="K4" s="70">
        <f t="shared" si="5"/>
        <v>0.1</v>
      </c>
      <c r="L4" s="66">
        <f t="shared" si="5"/>
        <v>0.1</v>
      </c>
      <c r="M4" s="66">
        <f t="shared" si="5"/>
        <v>0.1</v>
      </c>
      <c r="N4" s="67">
        <f t="shared" si="5"/>
        <v>0.1</v>
      </c>
      <c r="O4" s="68">
        <f t="shared" si="5"/>
        <v>0.1</v>
      </c>
      <c r="P4" s="66">
        <f t="shared" si="5"/>
        <v>0.1</v>
      </c>
      <c r="Q4" s="66">
        <f t="shared" si="5"/>
        <v>0.1</v>
      </c>
      <c r="R4" s="69">
        <f t="shared" si="5"/>
        <v>0.1</v>
      </c>
      <c r="S4" s="70">
        <f t="shared" si="5"/>
        <v>0.1</v>
      </c>
      <c r="T4" s="66">
        <f t="shared" si="5"/>
        <v>0.1</v>
      </c>
      <c r="U4" s="66">
        <f t="shared" si="5"/>
        <v>0.1</v>
      </c>
      <c r="V4" s="66">
        <f t="shared" si="5"/>
        <v>0.1</v>
      </c>
      <c r="W4" s="168" t="s">
        <v>32</v>
      </c>
    </row>
    <row r="5" spans="2:23" ht="34" customHeight="1" x14ac:dyDescent="0.55000000000000004">
      <c r="B5" s="168" t="s">
        <v>4</v>
      </c>
      <c r="C5" s="76">
        <f t="shared" ref="C5:V5" si="6">C6+C11</f>
        <v>0</v>
      </c>
      <c r="D5" s="72">
        <f t="shared" si="6"/>
        <v>0</v>
      </c>
      <c r="E5" s="72">
        <f t="shared" si="6"/>
        <v>0</v>
      </c>
      <c r="F5" s="73">
        <f t="shared" si="6"/>
        <v>0</v>
      </c>
      <c r="G5" s="74">
        <f t="shared" si="6"/>
        <v>0</v>
      </c>
      <c r="H5" s="72">
        <f t="shared" si="6"/>
        <v>0</v>
      </c>
      <c r="I5" s="72">
        <f t="shared" si="6"/>
        <v>0</v>
      </c>
      <c r="J5" s="75">
        <f t="shared" si="6"/>
        <v>0</v>
      </c>
      <c r="K5" s="76">
        <f t="shared" si="6"/>
        <v>0</v>
      </c>
      <c r="L5" s="72">
        <f t="shared" si="6"/>
        <v>0</v>
      </c>
      <c r="M5" s="72">
        <f t="shared" si="6"/>
        <v>0</v>
      </c>
      <c r="N5" s="73">
        <f t="shared" si="6"/>
        <v>0</v>
      </c>
      <c r="O5" s="74">
        <f t="shared" si="6"/>
        <v>0</v>
      </c>
      <c r="P5" s="72">
        <f t="shared" si="6"/>
        <v>0</v>
      </c>
      <c r="Q5" s="72">
        <f t="shared" si="6"/>
        <v>0</v>
      </c>
      <c r="R5" s="75">
        <f t="shared" si="6"/>
        <v>0</v>
      </c>
      <c r="S5" s="76">
        <f t="shared" si="6"/>
        <v>0</v>
      </c>
      <c r="T5" s="72">
        <f t="shared" si="6"/>
        <v>0</v>
      </c>
      <c r="U5" s="72">
        <f t="shared" si="6"/>
        <v>0</v>
      </c>
      <c r="V5" s="72">
        <f t="shared" si="6"/>
        <v>0</v>
      </c>
      <c r="W5" s="168" t="s">
        <v>4</v>
      </c>
    </row>
    <row r="6" spans="2:23" ht="34" customHeight="1" x14ac:dyDescent="0.55000000000000004">
      <c r="B6" s="168" t="s">
        <v>21</v>
      </c>
      <c r="C6" s="82">
        <f t="shared" ref="C6" si="7">COUNTIF(C7:C10,"〇")</f>
        <v>0</v>
      </c>
      <c r="D6" s="78">
        <f t="shared" ref="D6" si="8">COUNTIF(D7:D10,"〇")</f>
        <v>0</v>
      </c>
      <c r="E6" s="78">
        <f t="shared" ref="E6" si="9">COUNTIF(E7:E10,"〇")</f>
        <v>0</v>
      </c>
      <c r="F6" s="79">
        <f t="shared" ref="F6" si="10">COUNTIF(F7:F10,"〇")</f>
        <v>0</v>
      </c>
      <c r="G6" s="80">
        <f t="shared" ref="G6" si="11">COUNTIF(G7:G10,"〇")</f>
        <v>0</v>
      </c>
      <c r="H6" s="78">
        <f t="shared" ref="H6" si="12">COUNTIF(H7:H10,"〇")</f>
        <v>0</v>
      </c>
      <c r="I6" s="78">
        <f t="shared" ref="I6" si="13">COUNTIF(I7:I10,"〇")</f>
        <v>0</v>
      </c>
      <c r="J6" s="81">
        <f t="shared" ref="J6" si="14">COUNTIF(J7:J10,"〇")</f>
        <v>0</v>
      </c>
      <c r="K6" s="82">
        <f t="shared" ref="K6" si="15">COUNTIF(K7:K10,"〇")</f>
        <v>0</v>
      </c>
      <c r="L6" s="78">
        <f t="shared" ref="L6" si="16">COUNTIF(L7:L10,"〇")</f>
        <v>0</v>
      </c>
      <c r="M6" s="78">
        <f t="shared" ref="M6" si="17">COUNTIF(M7:M10,"〇")</f>
        <v>0</v>
      </c>
      <c r="N6" s="79">
        <f t="shared" ref="N6" si="18">COUNTIF(N7:N10,"〇")</f>
        <v>0</v>
      </c>
      <c r="O6" s="80">
        <f t="shared" ref="O6" si="19">COUNTIF(O7:O10,"〇")</f>
        <v>0</v>
      </c>
      <c r="P6" s="78">
        <f t="shared" ref="P6" si="20">COUNTIF(P7:P10,"〇")</f>
        <v>0</v>
      </c>
      <c r="Q6" s="78">
        <f t="shared" ref="Q6" si="21">COUNTIF(Q7:Q10,"〇")</f>
        <v>0</v>
      </c>
      <c r="R6" s="81">
        <f t="shared" ref="R6" si="22">COUNTIF(R7:R10,"〇")</f>
        <v>0</v>
      </c>
      <c r="S6" s="82">
        <f t="shared" ref="S6" si="23">COUNTIF(S7:S10,"〇")</f>
        <v>0</v>
      </c>
      <c r="T6" s="78">
        <f t="shared" ref="T6" si="24">COUNTIF(T7:T10,"〇")</f>
        <v>0</v>
      </c>
      <c r="U6" s="78">
        <f t="shared" ref="U6" si="25">COUNTIF(U7:U10,"〇")</f>
        <v>0</v>
      </c>
      <c r="V6" s="78">
        <f>COUNTIF(V7:V10,"〇")</f>
        <v>0</v>
      </c>
      <c r="W6" s="168" t="s">
        <v>21</v>
      </c>
    </row>
    <row r="7" spans="2:23" ht="34" customHeight="1" x14ac:dyDescent="0.55000000000000004">
      <c r="B7" s="168" t="s">
        <v>22</v>
      </c>
      <c r="C7" s="88"/>
      <c r="D7" s="84"/>
      <c r="E7" s="84"/>
      <c r="F7" s="85"/>
      <c r="G7" s="86"/>
      <c r="H7" s="84"/>
      <c r="I7" s="84"/>
      <c r="J7" s="87"/>
      <c r="K7" s="88"/>
      <c r="L7" s="84"/>
      <c r="M7" s="84"/>
      <c r="N7" s="85"/>
      <c r="O7" s="86"/>
      <c r="P7" s="84"/>
      <c r="Q7" s="84"/>
      <c r="R7" s="87"/>
      <c r="S7" s="88"/>
      <c r="T7" s="84"/>
      <c r="U7" s="84"/>
      <c r="V7" s="84"/>
      <c r="W7" s="168" t="s">
        <v>22</v>
      </c>
    </row>
    <row r="8" spans="2:23" ht="34" customHeight="1" x14ac:dyDescent="0.55000000000000004">
      <c r="B8" s="168" t="s">
        <v>24</v>
      </c>
      <c r="C8" s="88"/>
      <c r="D8" s="84"/>
      <c r="E8" s="84"/>
      <c r="F8" s="85"/>
      <c r="G8" s="86"/>
      <c r="H8" s="84"/>
      <c r="I8" s="84"/>
      <c r="J8" s="87"/>
      <c r="K8" s="88"/>
      <c r="L8" s="84"/>
      <c r="M8" s="84"/>
      <c r="N8" s="85"/>
      <c r="O8" s="86"/>
      <c r="P8" s="84"/>
      <c r="Q8" s="84"/>
      <c r="R8" s="87"/>
      <c r="S8" s="88"/>
      <c r="T8" s="84"/>
      <c r="U8" s="84"/>
      <c r="V8" s="84"/>
      <c r="W8" s="168" t="s">
        <v>24</v>
      </c>
    </row>
    <row r="9" spans="2:23" ht="34" customHeight="1" x14ac:dyDescent="0.55000000000000004">
      <c r="B9" s="168" t="s">
        <v>26</v>
      </c>
      <c r="C9" s="88"/>
      <c r="D9" s="84"/>
      <c r="E9" s="84"/>
      <c r="F9" s="85"/>
      <c r="G9" s="86"/>
      <c r="H9" s="84"/>
      <c r="I9" s="84"/>
      <c r="J9" s="87"/>
      <c r="K9" s="88"/>
      <c r="L9" s="84"/>
      <c r="M9" s="84"/>
      <c r="N9" s="85"/>
      <c r="O9" s="86"/>
      <c r="P9" s="84"/>
      <c r="Q9" s="84"/>
      <c r="R9" s="87"/>
      <c r="S9" s="88"/>
      <c r="T9" s="84"/>
      <c r="U9" s="84"/>
      <c r="V9" s="84"/>
      <c r="W9" s="168" t="s">
        <v>26</v>
      </c>
    </row>
    <row r="10" spans="2:23" ht="34" customHeight="1" x14ac:dyDescent="0.55000000000000004">
      <c r="B10" s="168" t="s">
        <v>28</v>
      </c>
      <c r="C10" s="88"/>
      <c r="D10" s="84"/>
      <c r="E10" s="84"/>
      <c r="F10" s="85"/>
      <c r="G10" s="86"/>
      <c r="H10" s="84"/>
      <c r="I10" s="84"/>
      <c r="J10" s="87"/>
      <c r="K10" s="88"/>
      <c r="L10" s="84"/>
      <c r="M10" s="84"/>
      <c r="N10" s="85"/>
      <c r="O10" s="86"/>
      <c r="P10" s="84"/>
      <c r="Q10" s="84"/>
      <c r="R10" s="87"/>
      <c r="S10" s="88"/>
      <c r="T10" s="84"/>
      <c r="U10" s="84"/>
      <c r="V10" s="84"/>
      <c r="W10" s="168" t="s">
        <v>28</v>
      </c>
    </row>
    <row r="11" spans="2:23" ht="34" customHeight="1" x14ac:dyDescent="0.55000000000000004">
      <c r="B11" s="168" t="s">
        <v>20</v>
      </c>
      <c r="C11" s="82">
        <f t="shared" ref="C11:V11" si="26">COUNTIF(C12:C15,"〇")</f>
        <v>0</v>
      </c>
      <c r="D11" s="78">
        <f t="shared" si="26"/>
        <v>0</v>
      </c>
      <c r="E11" s="78">
        <f t="shared" si="26"/>
        <v>0</v>
      </c>
      <c r="F11" s="79">
        <f t="shared" si="26"/>
        <v>0</v>
      </c>
      <c r="G11" s="80">
        <f t="shared" si="26"/>
        <v>0</v>
      </c>
      <c r="H11" s="78">
        <f t="shared" si="26"/>
        <v>0</v>
      </c>
      <c r="I11" s="78">
        <f t="shared" si="26"/>
        <v>0</v>
      </c>
      <c r="J11" s="81">
        <f t="shared" si="26"/>
        <v>0</v>
      </c>
      <c r="K11" s="82">
        <f t="shared" si="26"/>
        <v>0</v>
      </c>
      <c r="L11" s="78">
        <f t="shared" si="26"/>
        <v>0</v>
      </c>
      <c r="M11" s="78">
        <f t="shared" si="26"/>
        <v>0</v>
      </c>
      <c r="N11" s="79">
        <f t="shared" si="26"/>
        <v>0</v>
      </c>
      <c r="O11" s="80">
        <f t="shared" si="26"/>
        <v>0</v>
      </c>
      <c r="P11" s="78">
        <f t="shared" si="26"/>
        <v>0</v>
      </c>
      <c r="Q11" s="78">
        <f t="shared" si="26"/>
        <v>0</v>
      </c>
      <c r="R11" s="81">
        <f t="shared" si="26"/>
        <v>0</v>
      </c>
      <c r="S11" s="82">
        <f t="shared" si="26"/>
        <v>0</v>
      </c>
      <c r="T11" s="78">
        <f t="shared" si="26"/>
        <v>0</v>
      </c>
      <c r="U11" s="78">
        <f t="shared" si="26"/>
        <v>0</v>
      </c>
      <c r="V11" s="78">
        <f t="shared" si="26"/>
        <v>0</v>
      </c>
      <c r="W11" s="168" t="s">
        <v>20</v>
      </c>
    </row>
    <row r="12" spans="2:23" ht="34" customHeight="1" x14ac:dyDescent="0.55000000000000004">
      <c r="B12" s="168" t="s">
        <v>22</v>
      </c>
      <c r="C12" s="88"/>
      <c r="D12" s="84"/>
      <c r="E12" s="84"/>
      <c r="F12" s="85"/>
      <c r="G12" s="86"/>
      <c r="H12" s="84"/>
      <c r="I12" s="84"/>
      <c r="J12" s="87"/>
      <c r="K12" s="88"/>
      <c r="L12" s="84"/>
      <c r="M12" s="84"/>
      <c r="N12" s="85"/>
      <c r="O12" s="86"/>
      <c r="P12" s="84"/>
      <c r="Q12" s="84"/>
      <c r="R12" s="87"/>
      <c r="S12" s="88"/>
      <c r="T12" s="84"/>
      <c r="U12" s="84"/>
      <c r="V12" s="84"/>
      <c r="W12" s="168" t="s">
        <v>22</v>
      </c>
    </row>
    <row r="13" spans="2:23" ht="34" customHeight="1" x14ac:dyDescent="0.55000000000000004">
      <c r="B13" s="168" t="s">
        <v>24</v>
      </c>
      <c r="C13" s="88"/>
      <c r="D13" s="84"/>
      <c r="E13" s="84"/>
      <c r="F13" s="85"/>
      <c r="G13" s="86"/>
      <c r="H13" s="84"/>
      <c r="I13" s="84"/>
      <c r="J13" s="87"/>
      <c r="K13" s="88"/>
      <c r="L13" s="84"/>
      <c r="M13" s="84"/>
      <c r="N13" s="85"/>
      <c r="O13" s="86"/>
      <c r="P13" s="84"/>
      <c r="Q13" s="84"/>
      <c r="R13" s="87"/>
      <c r="S13" s="88"/>
      <c r="T13" s="84"/>
      <c r="U13" s="84"/>
      <c r="V13" s="84"/>
      <c r="W13" s="168" t="s">
        <v>24</v>
      </c>
    </row>
    <row r="14" spans="2:23" ht="34" customHeight="1" x14ac:dyDescent="0.55000000000000004">
      <c r="B14" s="168" t="s">
        <v>26</v>
      </c>
      <c r="C14" s="88"/>
      <c r="D14" s="84"/>
      <c r="E14" s="84"/>
      <c r="F14" s="85"/>
      <c r="G14" s="86"/>
      <c r="H14" s="84"/>
      <c r="I14" s="84"/>
      <c r="J14" s="87"/>
      <c r="K14" s="88"/>
      <c r="L14" s="84"/>
      <c r="M14" s="84"/>
      <c r="N14" s="85"/>
      <c r="O14" s="86"/>
      <c r="P14" s="84"/>
      <c r="Q14" s="84"/>
      <c r="R14" s="87"/>
      <c r="S14" s="88"/>
      <c r="T14" s="84"/>
      <c r="U14" s="84"/>
      <c r="V14" s="84"/>
      <c r="W14" s="168" t="s">
        <v>26</v>
      </c>
    </row>
    <row r="15" spans="2:23" ht="34" customHeight="1" thickBot="1" x14ac:dyDescent="0.6">
      <c r="B15" s="169" t="s">
        <v>28</v>
      </c>
      <c r="C15" s="94"/>
      <c r="D15" s="90"/>
      <c r="E15" s="90"/>
      <c r="F15" s="91"/>
      <c r="G15" s="92"/>
      <c r="H15" s="90"/>
      <c r="I15" s="90"/>
      <c r="J15" s="93"/>
      <c r="K15" s="94"/>
      <c r="L15" s="90"/>
      <c r="M15" s="90"/>
      <c r="N15" s="91"/>
      <c r="O15" s="92"/>
      <c r="P15" s="90"/>
      <c r="Q15" s="90"/>
      <c r="R15" s="93"/>
      <c r="S15" s="94"/>
      <c r="T15" s="90"/>
      <c r="U15" s="90"/>
      <c r="V15" s="90"/>
      <c r="W15" s="169" t="s">
        <v>28</v>
      </c>
    </row>
    <row r="16" spans="2:23" ht="34" customHeight="1" x14ac:dyDescent="0.55000000000000004">
      <c r="B16" s="170" t="s">
        <v>18</v>
      </c>
      <c r="C16" s="100">
        <f>IF(選手!C21&lt;&gt;"",選手!C21,"")</f>
        <v>20</v>
      </c>
      <c r="D16" s="96">
        <f>IF(選手!C20&lt;&gt;"",選手!C20,"")</f>
        <v>19</v>
      </c>
      <c r="E16" s="96">
        <f>IF(選手!C19&lt;&gt;"",選手!C19,"")</f>
        <v>18</v>
      </c>
      <c r="F16" s="97">
        <f>IF(選手!C18&lt;&gt;"",選手!C18,"")</f>
        <v>17</v>
      </c>
      <c r="G16" s="98">
        <f>IF(選手!C17&lt;&gt;"",選手!C17,"")</f>
        <v>16</v>
      </c>
      <c r="H16" s="96">
        <f>IF(選手!C16&lt;&gt;"",選手!C16,"")</f>
        <v>15</v>
      </c>
      <c r="I16" s="96">
        <f>IF(選手!C15&lt;&gt;"",選手!C15,"")</f>
        <v>14</v>
      </c>
      <c r="J16" s="99">
        <f>IF(選手!C14&lt;&gt;"",選手!C14,"")</f>
        <v>13</v>
      </c>
      <c r="K16" s="100">
        <f>IF(選手!C13&lt;&gt;"",選手!C13,"")</f>
        <v>12</v>
      </c>
      <c r="L16" s="96">
        <f>IF(選手!C12&lt;&gt;"",選手!C12,"")</f>
        <v>11</v>
      </c>
      <c r="M16" s="96">
        <f>IF(選手!C11&lt;&gt;"",選手!C11,"")</f>
        <v>10</v>
      </c>
      <c r="N16" s="97">
        <f>IF(選手!C10&lt;&gt;"",選手!C10,"")</f>
        <v>9</v>
      </c>
      <c r="O16" s="98">
        <f>IF(選手!C9&lt;&gt;"",選手!C9,"")</f>
        <v>8</v>
      </c>
      <c r="P16" s="96">
        <f>IF(選手!C8&lt;&gt;"",選手!C8,"")</f>
        <v>7</v>
      </c>
      <c r="Q16" s="96">
        <f>IF(選手!C7&lt;&gt;"",選手!C7,"")</f>
        <v>6</v>
      </c>
      <c r="R16" s="99">
        <f>IF(選手!C6&lt;&gt;"",選手!C6,"")</f>
        <v>5</v>
      </c>
      <c r="S16" s="100">
        <f>IF(選手!C5&lt;&gt;"",選手!C5,"")</f>
        <v>4</v>
      </c>
      <c r="T16" s="96">
        <f>IF(選手!C4&lt;&gt;"",選手!C4,"")</f>
        <v>3</v>
      </c>
      <c r="U16" s="96">
        <f>IF(選手!C3&lt;&gt;"",選手!C3,"")</f>
        <v>2</v>
      </c>
      <c r="V16" s="96">
        <f>IF(選手!C2&lt;&gt;"",選手!C2,"")</f>
        <v>1</v>
      </c>
      <c r="W16" s="170" t="s">
        <v>18</v>
      </c>
    </row>
    <row r="17" spans="2:34" ht="34" customHeight="1" x14ac:dyDescent="0.55000000000000004">
      <c r="B17" s="168" t="s">
        <v>35</v>
      </c>
      <c r="C17" s="106" t="str">
        <f>IF(選手!E21&lt;&gt;"",選手!E21,"")</f>
        <v>男</v>
      </c>
      <c r="D17" s="102" t="str">
        <f>IF(選手!E20&lt;&gt;"",選手!E20,"")</f>
        <v>男</v>
      </c>
      <c r="E17" s="102" t="str">
        <f>IF(選手!E19&lt;&gt;"",選手!E19,"")</f>
        <v>男</v>
      </c>
      <c r="F17" s="103" t="str">
        <f>IF(選手!E18&lt;&gt;"",選手!E18,"")</f>
        <v>男</v>
      </c>
      <c r="G17" s="104" t="str">
        <f>IF(選手!E17&lt;&gt;"",選手!E17,"")</f>
        <v>女</v>
      </c>
      <c r="H17" s="102" t="str">
        <f>IF(選手!E16&lt;&gt;"",選手!E16,"")</f>
        <v>男</v>
      </c>
      <c r="I17" s="102" t="str">
        <f>IF(選手!E15&lt;&gt;"",選手!E15,"")</f>
        <v>女</v>
      </c>
      <c r="J17" s="105" t="str">
        <f>IF(選手!E14&lt;&gt;"",選手!E14,"")</f>
        <v>男</v>
      </c>
      <c r="K17" s="106" t="str">
        <f>IF(選手!E13&lt;&gt;"",選手!E13,"")</f>
        <v>男</v>
      </c>
      <c r="L17" s="102" t="str">
        <f>IF(選手!E12&lt;&gt;"",選手!E12,"")</f>
        <v>女</v>
      </c>
      <c r="M17" s="102" t="str">
        <f>IF(選手!E11&lt;&gt;"",選手!E11,"")</f>
        <v>男</v>
      </c>
      <c r="N17" s="103" t="str">
        <f>IF(選手!E10&lt;&gt;"",選手!E10,"")</f>
        <v>男</v>
      </c>
      <c r="O17" s="104" t="str">
        <f>IF(選手!E9&lt;&gt;"",選手!E9,"")</f>
        <v>男</v>
      </c>
      <c r="P17" s="102" t="str">
        <f>IF(選手!E8&lt;&gt;"",選手!E8,"")</f>
        <v>女</v>
      </c>
      <c r="Q17" s="102" t="str">
        <f>IF(選手!E7&lt;&gt;"",選手!E7,"")</f>
        <v>女</v>
      </c>
      <c r="R17" s="105" t="str">
        <f>IF(選手!E6&lt;&gt;"",選手!E6,"")</f>
        <v>男</v>
      </c>
      <c r="S17" s="106" t="str">
        <f>IF(選手!E5&lt;&gt;"",選手!E5,"")</f>
        <v>女</v>
      </c>
      <c r="T17" s="102" t="str">
        <f>IF(選手!E4&lt;&gt;"",選手!E4,"")</f>
        <v>女</v>
      </c>
      <c r="U17" s="102" t="str">
        <f>IF(選手!E3&lt;&gt;"",選手!E3,"")</f>
        <v>男</v>
      </c>
      <c r="V17" s="102" t="str">
        <f>IF(選手!E2&lt;&gt;"",選手!E2,"")</f>
        <v>男</v>
      </c>
      <c r="W17" s="168" t="s">
        <v>1</v>
      </c>
    </row>
    <row r="18" spans="2:34" ht="180" customHeight="1" x14ac:dyDescent="0.55000000000000004">
      <c r="B18" s="107" t="s">
        <v>128</v>
      </c>
      <c r="C18" s="113" t="str">
        <f>IF(選手!D21&lt;&gt;"",選手!D21,"")</f>
        <v>杉山 武</v>
      </c>
      <c r="D18" s="109" t="str">
        <f>IF(選手!D20&lt;&gt;"",選手!D20,"")</f>
        <v>玉野 正明</v>
      </c>
      <c r="E18" s="109" t="str">
        <f>IF(選手!D19&lt;&gt;"",選手!D19,"")</f>
        <v>阿部 健二郞</v>
      </c>
      <c r="F18" s="110" t="str">
        <f>IF(選手!D18&lt;&gt;"",選手!D18,"")</f>
        <v>小川 久生</v>
      </c>
      <c r="G18" s="111" t="str">
        <f>IF(選手!D17&lt;&gt;"",選手!D17,"")</f>
        <v>荒川 花子</v>
      </c>
      <c r="H18" s="109" t="str">
        <f>IF(選手!D16&lt;&gt;"",選手!D16,"")</f>
        <v>杉原 伸哉</v>
      </c>
      <c r="I18" s="109" t="str">
        <f>IF(選手!D15&lt;&gt;"",選手!D15,"")</f>
        <v>渡邉 由美子</v>
      </c>
      <c r="J18" s="112" t="str">
        <f>IF(選手!D14&lt;&gt;"",選手!D14,"")</f>
        <v>北崎 良治</v>
      </c>
      <c r="K18" s="113" t="str">
        <f>IF(選手!D13&lt;&gt;"",選手!D13,"")</f>
        <v>加藤 忠人</v>
      </c>
      <c r="L18" s="109" t="str">
        <f>IF(選手!D12&lt;&gt;"",選手!D12,"")</f>
        <v>村瀬 沙織</v>
      </c>
      <c r="M18" s="109" t="str">
        <f>IF(選手!D11&lt;&gt;"",選手!D11,"")</f>
        <v>大槻 成実</v>
      </c>
      <c r="N18" s="110" t="str">
        <f>IF(選手!D10&lt;&gt;"",選手!D10,"")</f>
        <v>丹羽 泰生</v>
      </c>
      <c r="O18" s="111" t="str">
        <f>IF(選手!D9&lt;&gt;"",選手!D9,"")</f>
        <v>加藤 広史</v>
      </c>
      <c r="P18" s="109" t="str">
        <f>IF(選手!D8&lt;&gt;"",選手!D8,"")</f>
        <v>瀬山 博子</v>
      </c>
      <c r="Q18" s="109" t="str">
        <f>IF(選手!D7&lt;&gt;"",選手!D7,"")</f>
        <v>小林 都</v>
      </c>
      <c r="R18" s="112" t="str">
        <f>IF(選手!D6&lt;&gt;"",選手!D6,"")</f>
        <v>伊藤 寿邦</v>
      </c>
      <c r="S18" s="113" t="str">
        <f>IF(選手!D5&lt;&gt;"",選手!D5,"")</f>
        <v>森竹 結衣</v>
      </c>
      <c r="T18" s="109" t="str">
        <f>IF(選手!D4&lt;&gt;"",選手!D4,"")</f>
        <v>谷口 弥生</v>
      </c>
      <c r="U18" s="109" t="str">
        <f>IF(選手!D3&lt;&gt;"",選手!D3,"")</f>
        <v>加藤 崇文</v>
      </c>
      <c r="V18" s="109" t="str">
        <f>IF(選手!D2&lt;&gt;"",選手!D2,"")</f>
        <v>野村 清美</v>
      </c>
      <c r="W18" s="107" t="s">
        <v>128</v>
      </c>
    </row>
    <row r="19" spans="2:34" ht="24.5" customHeight="1" x14ac:dyDescent="0.55000000000000004"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  <c r="AH19" s="114"/>
    </row>
    <row r="20" spans="2:34" x14ac:dyDescent="0.55000000000000004">
      <c r="B20" s="168" t="s">
        <v>2</v>
      </c>
      <c r="C20" s="175" t="str">
        <f>選手!G18</f>
        <v>春日井B</v>
      </c>
      <c r="D20" s="175"/>
      <c r="E20" s="175"/>
      <c r="F20" s="175"/>
      <c r="G20" s="176" t="str">
        <f>選手!G14</f>
        <v>日進B</v>
      </c>
      <c r="H20" s="175"/>
      <c r="I20" s="175"/>
      <c r="J20" s="177"/>
      <c r="K20" s="175" t="str">
        <f>選手!G10</f>
        <v>日進A</v>
      </c>
      <c r="L20" s="175"/>
      <c r="M20" s="175"/>
      <c r="N20" s="175"/>
      <c r="O20" s="176" t="str">
        <f>選手!G6</f>
        <v>尾張旭B</v>
      </c>
      <c r="P20" s="175"/>
      <c r="Q20" s="175"/>
      <c r="R20" s="177"/>
      <c r="S20" s="175" t="str">
        <f>選手!G2</f>
        <v>尾張旭A</v>
      </c>
      <c r="T20" s="175"/>
      <c r="U20" s="175"/>
      <c r="V20" s="178"/>
      <c r="W20" s="168" t="s">
        <v>2</v>
      </c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  <c r="AH20" s="114"/>
    </row>
    <row r="21" spans="2:34" x14ac:dyDescent="0.55000000000000004">
      <c r="B21" s="168" t="s">
        <v>3</v>
      </c>
      <c r="C21" s="172">
        <f t="shared" ref="C21" si="27">SUM(C23:F23)</f>
        <v>0</v>
      </c>
      <c r="D21" s="173"/>
      <c r="E21" s="173"/>
      <c r="F21" s="174"/>
      <c r="G21" s="179">
        <f t="shared" ref="G21" si="28">SUM(G23:J23)</f>
        <v>0</v>
      </c>
      <c r="H21" s="173"/>
      <c r="I21" s="173"/>
      <c r="J21" s="180"/>
      <c r="K21" s="172">
        <f>SUM(K23:N23)</f>
        <v>0</v>
      </c>
      <c r="L21" s="173"/>
      <c r="M21" s="173"/>
      <c r="N21" s="174"/>
      <c r="O21" s="179">
        <f>SUM(O23:R23)</f>
        <v>0</v>
      </c>
      <c r="P21" s="173"/>
      <c r="Q21" s="173"/>
      <c r="R21" s="180"/>
      <c r="S21" s="172">
        <f t="shared" ref="S21" si="29">SUM(S23:V23)</f>
        <v>0</v>
      </c>
      <c r="T21" s="173"/>
      <c r="U21" s="173"/>
      <c r="V21" s="173"/>
      <c r="W21" s="168" t="s">
        <v>3</v>
      </c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  <c r="AH21" s="114"/>
    </row>
    <row r="22" spans="2:34" hidden="1" x14ac:dyDescent="0.55000000000000004">
      <c r="B22" s="168" t="s">
        <v>32</v>
      </c>
      <c r="C22" s="70">
        <f t="shared" ref="C22:J22" si="30">C23+0.1+(IF(C33="〇",1,0)*0.01)+(IF(C32="〇",1,0)*0.001)+(IF(C31="〇",1,0)*0.0001)+(IF(C30="〇",1,0)*0.00001)+(IF(C28="〇",1,0)*0.000001)+(IF(C27="〇",1,0)*0.0000001)+(IF(C26="〇",1,0)*0.00000001)+(IF(C25="〇",1,0)*0.000000001)</f>
        <v>0.1</v>
      </c>
      <c r="D22" s="66">
        <f t="shared" si="30"/>
        <v>0.1</v>
      </c>
      <c r="E22" s="66">
        <f t="shared" si="30"/>
        <v>0.1</v>
      </c>
      <c r="F22" s="67">
        <f t="shared" si="30"/>
        <v>0.1</v>
      </c>
      <c r="G22" s="68">
        <f t="shared" si="30"/>
        <v>0.1</v>
      </c>
      <c r="H22" s="66">
        <f t="shared" si="30"/>
        <v>0.1</v>
      </c>
      <c r="I22" s="66">
        <f t="shared" si="30"/>
        <v>0.1</v>
      </c>
      <c r="J22" s="69">
        <f t="shared" si="30"/>
        <v>0.1</v>
      </c>
      <c r="K22" s="70">
        <f t="shared" ref="K22:R22" si="31">K23+0.1+(IF(K33="〇",1,0)*0.01)+(IF(K32="〇",1,0)*0.001)+(IF(K31="〇",1,0)*0.0001)+(IF(K30="〇",1,0)*0.00001)+(IF(K28="〇",1,0)*0.000001)+(IF(K27="〇",1,0)*0.0000001)+(IF(K26="〇",1,0)*0.00000001)+(IF(K25="〇",1,0)*0.000000001)</f>
        <v>0.1</v>
      </c>
      <c r="L22" s="66">
        <f t="shared" si="31"/>
        <v>0.1</v>
      </c>
      <c r="M22" s="66">
        <f t="shared" si="31"/>
        <v>0.1</v>
      </c>
      <c r="N22" s="67">
        <f t="shared" si="31"/>
        <v>0.1</v>
      </c>
      <c r="O22" s="68">
        <f t="shared" si="31"/>
        <v>0.1</v>
      </c>
      <c r="P22" s="66">
        <f t="shared" si="31"/>
        <v>0.1</v>
      </c>
      <c r="Q22" s="66">
        <f t="shared" si="31"/>
        <v>0.1</v>
      </c>
      <c r="R22" s="69">
        <f t="shared" si="31"/>
        <v>0.1</v>
      </c>
      <c r="S22" s="70">
        <f>S23+0.1+(IF(S33="〇",1,0)*0.01)+(IF(S32="〇",1,0)*0.001)+(IF(S31="〇",1,0)*0.0001)+(IF(S30="〇",1,0)*0.00001)+(IF(S28="〇",1,0)*0.000001)+(IF(S27="〇",1,0)*0.0000001)+(IF(S26="〇",1,0)*0.00000001)+(IF(S25="〇",1,0)*0.000000001)</f>
        <v>0.1</v>
      </c>
      <c r="T22" s="66">
        <f>T23+0.1+(IF(T33="〇",1,0)*0.01)+(IF(T32="〇",1,0)*0.001)+(IF(T31="〇",1,0)*0.0001)+(IF(T30="〇",1,0)*0.00001)+(IF(T28="〇",1,0)*0.000001)+(IF(T27="〇",1,0)*0.0000001)+(IF(T26="〇",1,0)*0.00000001)+(IF(T25="〇",1,0)*0.000000001)</f>
        <v>0.1</v>
      </c>
      <c r="U22" s="66">
        <f>U23+0.1+(IF(U33="〇",1,0)*0.01)+(IF(U32="〇",1,0)*0.001)+(IF(U31="〇",1,0)*0.0001)+(IF(U30="〇",1,0)*0.00001)+(IF(U28="〇",1,0)*0.000001)+(IF(U27="〇",1,0)*0.0000001)+(IF(U26="〇",1,0)*0.00000001)+(IF(U25="〇",1,0)*0.000000001)</f>
        <v>0.1</v>
      </c>
      <c r="V22" s="66">
        <f>V23+0.1+(IF(V33="〇",1,0)*0.01)+(IF(V32="〇",1,0)*0.001)+(IF(V31="〇",1,0)*0.0001)+(IF(V30="〇",1,0)*0.00001)+(IF(V28="〇",1,0)*0.000001)+(IF(V27="〇",1,0)*0.0000001)+(IF(V26="〇",1,0)*0.00000001)+(IF(V25="〇",1,0)*0.000000001)</f>
        <v>0.1</v>
      </c>
      <c r="W22" s="168" t="s">
        <v>32</v>
      </c>
      <c r="X22" s="114"/>
      <c r="Y22" s="114"/>
      <c r="Z22" s="114"/>
      <c r="AA22" s="114"/>
      <c r="AB22" s="114"/>
      <c r="AC22" s="114"/>
      <c r="AD22" s="114"/>
      <c r="AE22" s="114"/>
      <c r="AF22" s="114"/>
      <c r="AG22" s="114"/>
      <c r="AH22" s="114"/>
    </row>
    <row r="23" spans="2:34" ht="34" customHeight="1" x14ac:dyDescent="0.55000000000000004">
      <c r="B23" s="168" t="s">
        <v>4</v>
      </c>
      <c r="C23" s="76">
        <f t="shared" ref="C23" si="32">C24+C29</f>
        <v>0</v>
      </c>
      <c r="D23" s="72">
        <f t="shared" ref="D23" si="33">D24+D29</f>
        <v>0</v>
      </c>
      <c r="E23" s="72">
        <f t="shared" ref="E23" si="34">E24+E29</f>
        <v>0</v>
      </c>
      <c r="F23" s="73">
        <f t="shared" ref="F23" si="35">F24+F29</f>
        <v>0</v>
      </c>
      <c r="G23" s="74">
        <f t="shared" ref="G23" si="36">G24+G29</f>
        <v>0</v>
      </c>
      <c r="H23" s="72">
        <f t="shared" ref="H23" si="37">H24+H29</f>
        <v>0</v>
      </c>
      <c r="I23" s="72">
        <f t="shared" ref="I23" si="38">I24+I29</f>
        <v>0</v>
      </c>
      <c r="J23" s="75">
        <f t="shared" ref="J23" si="39">J24+J29</f>
        <v>0</v>
      </c>
      <c r="K23" s="76">
        <f t="shared" ref="K23:V23" si="40">K24+K29</f>
        <v>0</v>
      </c>
      <c r="L23" s="72">
        <f t="shared" si="40"/>
        <v>0</v>
      </c>
      <c r="M23" s="72">
        <f t="shared" si="40"/>
        <v>0</v>
      </c>
      <c r="N23" s="73">
        <f t="shared" si="40"/>
        <v>0</v>
      </c>
      <c r="O23" s="74">
        <f t="shared" si="40"/>
        <v>0</v>
      </c>
      <c r="P23" s="72">
        <f t="shared" si="40"/>
        <v>0</v>
      </c>
      <c r="Q23" s="72">
        <f t="shared" si="40"/>
        <v>0</v>
      </c>
      <c r="R23" s="75">
        <f t="shared" si="40"/>
        <v>0</v>
      </c>
      <c r="S23" s="76">
        <f t="shared" si="40"/>
        <v>0</v>
      </c>
      <c r="T23" s="72">
        <f t="shared" si="40"/>
        <v>0</v>
      </c>
      <c r="U23" s="72">
        <f t="shared" si="40"/>
        <v>0</v>
      </c>
      <c r="V23" s="72">
        <f t="shared" si="40"/>
        <v>0</v>
      </c>
      <c r="W23" s="168" t="s">
        <v>4</v>
      </c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</row>
    <row r="24" spans="2:34" ht="34" customHeight="1" x14ac:dyDescent="0.55000000000000004">
      <c r="B24" s="168" t="s">
        <v>21</v>
      </c>
      <c r="C24" s="82">
        <f t="shared" ref="C24" si="41">COUNTIF(C25:C28,"〇")</f>
        <v>0</v>
      </c>
      <c r="D24" s="78">
        <f t="shared" ref="D24" si="42">COUNTIF(D25:D28,"〇")</f>
        <v>0</v>
      </c>
      <c r="E24" s="78">
        <f t="shared" ref="E24" si="43">COUNTIF(E25:E28,"〇")</f>
        <v>0</v>
      </c>
      <c r="F24" s="79">
        <f t="shared" ref="F24" si="44">COUNTIF(F25:F28,"〇")</f>
        <v>0</v>
      </c>
      <c r="G24" s="80">
        <f t="shared" ref="G24" si="45">COUNTIF(G25:G28,"〇")</f>
        <v>0</v>
      </c>
      <c r="H24" s="78">
        <f t="shared" ref="H24" si="46">COUNTIF(H25:H28,"〇")</f>
        <v>0</v>
      </c>
      <c r="I24" s="78">
        <f t="shared" ref="I24" si="47">COUNTIF(I25:I28,"〇")</f>
        <v>0</v>
      </c>
      <c r="J24" s="81">
        <f>COUNTIF(J25:J28,"〇")</f>
        <v>0</v>
      </c>
      <c r="K24" s="82">
        <f>COUNTIF(K25:K28,"〇")</f>
        <v>0</v>
      </c>
      <c r="L24" s="78">
        <f t="shared" ref="L24" si="48">COUNTIF(L25:L28,"〇")</f>
        <v>0</v>
      </c>
      <c r="M24" s="78">
        <f t="shared" ref="M24" si="49">COUNTIF(M25:M28,"〇")</f>
        <v>0</v>
      </c>
      <c r="N24" s="79">
        <f t="shared" ref="N24" si="50">COUNTIF(N25:N28,"〇")</f>
        <v>0</v>
      </c>
      <c r="O24" s="80">
        <f t="shared" ref="O24" si="51">COUNTIF(O25:O28,"〇")</f>
        <v>0</v>
      </c>
      <c r="P24" s="78">
        <f t="shared" ref="P24" si="52">COUNTIF(P25:P28,"〇")</f>
        <v>0</v>
      </c>
      <c r="Q24" s="78">
        <f t="shared" ref="Q24" si="53">COUNTIF(Q25:Q28,"〇")</f>
        <v>0</v>
      </c>
      <c r="R24" s="81">
        <f t="shared" ref="R24" si="54">COUNTIF(R25:R28,"〇")</f>
        <v>0</v>
      </c>
      <c r="S24" s="82">
        <f t="shared" ref="S24" si="55">COUNTIF(S25:S28,"〇")</f>
        <v>0</v>
      </c>
      <c r="T24" s="78">
        <f t="shared" ref="T24" si="56">COUNTIF(T25:T28,"〇")</f>
        <v>0</v>
      </c>
      <c r="U24" s="78">
        <f t="shared" ref="U24" si="57">COUNTIF(U25:U28,"〇")</f>
        <v>0</v>
      </c>
      <c r="V24" s="78">
        <f t="shared" ref="V24" si="58">COUNTIF(V25:V28,"〇")</f>
        <v>0</v>
      </c>
      <c r="W24" s="168" t="s">
        <v>21</v>
      </c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</row>
    <row r="25" spans="2:34" ht="34" customHeight="1" x14ac:dyDescent="0.55000000000000004">
      <c r="B25" s="168" t="s">
        <v>22</v>
      </c>
      <c r="C25" s="88"/>
      <c r="D25" s="84"/>
      <c r="E25" s="84"/>
      <c r="F25" s="85"/>
      <c r="G25" s="86"/>
      <c r="H25" s="84"/>
      <c r="I25" s="84"/>
      <c r="J25" s="87"/>
      <c r="K25" s="88"/>
      <c r="L25" s="84"/>
      <c r="M25" s="84"/>
      <c r="N25" s="85"/>
      <c r="O25" s="86"/>
      <c r="P25" s="84"/>
      <c r="Q25" s="84"/>
      <c r="R25" s="87"/>
      <c r="S25" s="88"/>
      <c r="T25" s="84"/>
      <c r="U25" s="84"/>
      <c r="V25" s="84"/>
      <c r="W25" s="168" t="s">
        <v>22</v>
      </c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</row>
    <row r="26" spans="2:34" ht="34" customHeight="1" x14ac:dyDescent="0.55000000000000004">
      <c r="B26" s="168" t="s">
        <v>24</v>
      </c>
      <c r="C26" s="88"/>
      <c r="D26" s="84"/>
      <c r="E26" s="84"/>
      <c r="F26" s="85"/>
      <c r="G26" s="86"/>
      <c r="H26" s="84"/>
      <c r="I26" s="84"/>
      <c r="J26" s="87"/>
      <c r="K26" s="88"/>
      <c r="L26" s="84"/>
      <c r="M26" s="84"/>
      <c r="N26" s="85"/>
      <c r="O26" s="86"/>
      <c r="P26" s="84"/>
      <c r="Q26" s="84"/>
      <c r="R26" s="87"/>
      <c r="S26" s="88"/>
      <c r="T26" s="84"/>
      <c r="U26" s="84"/>
      <c r="V26" s="84"/>
      <c r="W26" s="168" t="s">
        <v>24</v>
      </c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  <c r="AH26" s="114"/>
    </row>
    <row r="27" spans="2:34" ht="34" customHeight="1" x14ac:dyDescent="0.55000000000000004">
      <c r="B27" s="168" t="s">
        <v>26</v>
      </c>
      <c r="C27" s="88"/>
      <c r="D27" s="84"/>
      <c r="E27" s="84"/>
      <c r="F27" s="85"/>
      <c r="G27" s="86"/>
      <c r="H27" s="84"/>
      <c r="I27" s="84"/>
      <c r="J27" s="87"/>
      <c r="K27" s="88"/>
      <c r="L27" s="84"/>
      <c r="M27" s="84"/>
      <c r="N27" s="85"/>
      <c r="O27" s="86"/>
      <c r="P27" s="84"/>
      <c r="Q27" s="84"/>
      <c r="R27" s="87"/>
      <c r="S27" s="88"/>
      <c r="T27" s="84"/>
      <c r="U27" s="84"/>
      <c r="V27" s="84"/>
      <c r="W27" s="168" t="s">
        <v>26</v>
      </c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</row>
    <row r="28" spans="2:34" ht="34" customHeight="1" x14ac:dyDescent="0.55000000000000004">
      <c r="B28" s="168" t="s">
        <v>28</v>
      </c>
      <c r="C28" s="88"/>
      <c r="D28" s="84"/>
      <c r="E28" s="84"/>
      <c r="F28" s="85"/>
      <c r="G28" s="86"/>
      <c r="H28" s="84"/>
      <c r="I28" s="84"/>
      <c r="J28" s="87"/>
      <c r="K28" s="88"/>
      <c r="L28" s="84"/>
      <c r="M28" s="84"/>
      <c r="N28" s="85"/>
      <c r="O28" s="86"/>
      <c r="P28" s="84"/>
      <c r="Q28" s="84"/>
      <c r="R28" s="87"/>
      <c r="S28" s="88"/>
      <c r="T28" s="84"/>
      <c r="U28" s="84"/>
      <c r="V28" s="84"/>
      <c r="W28" s="168" t="s">
        <v>28</v>
      </c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  <c r="AH28" s="114"/>
    </row>
    <row r="29" spans="2:34" ht="34" customHeight="1" x14ac:dyDescent="0.55000000000000004">
      <c r="B29" s="168" t="s">
        <v>20</v>
      </c>
      <c r="C29" s="82">
        <f t="shared" ref="C29" si="59">COUNTIF(C30:C33,"〇")</f>
        <v>0</v>
      </c>
      <c r="D29" s="78">
        <f t="shared" ref="D29" si="60">COUNTIF(D30:D33,"〇")</f>
        <v>0</v>
      </c>
      <c r="E29" s="78">
        <f t="shared" ref="E29" si="61">COUNTIF(E30:E33,"〇")</f>
        <v>0</v>
      </c>
      <c r="F29" s="79">
        <f t="shared" ref="F29" si="62">COUNTIF(F30:F33,"〇")</f>
        <v>0</v>
      </c>
      <c r="G29" s="80">
        <f t="shared" ref="G29" si="63">COUNTIF(G30:G33,"〇")</f>
        <v>0</v>
      </c>
      <c r="H29" s="78">
        <f t="shared" ref="H29" si="64">COUNTIF(H30:H33,"〇")</f>
        <v>0</v>
      </c>
      <c r="I29" s="78">
        <f t="shared" ref="I29" si="65">COUNTIF(I30:I33,"〇")</f>
        <v>0</v>
      </c>
      <c r="J29" s="81">
        <f t="shared" ref="J29:V29" si="66">COUNTIF(J30:J33,"〇")</f>
        <v>0</v>
      </c>
      <c r="K29" s="82">
        <f t="shared" si="66"/>
        <v>0</v>
      </c>
      <c r="L29" s="78">
        <f t="shared" si="66"/>
        <v>0</v>
      </c>
      <c r="M29" s="78">
        <f t="shared" si="66"/>
        <v>0</v>
      </c>
      <c r="N29" s="79">
        <f t="shared" si="66"/>
        <v>0</v>
      </c>
      <c r="O29" s="80">
        <f t="shared" si="66"/>
        <v>0</v>
      </c>
      <c r="P29" s="78">
        <f t="shared" si="66"/>
        <v>0</v>
      </c>
      <c r="Q29" s="78">
        <f t="shared" si="66"/>
        <v>0</v>
      </c>
      <c r="R29" s="81">
        <f t="shared" si="66"/>
        <v>0</v>
      </c>
      <c r="S29" s="82">
        <f t="shared" si="66"/>
        <v>0</v>
      </c>
      <c r="T29" s="78">
        <f t="shared" si="66"/>
        <v>0</v>
      </c>
      <c r="U29" s="78">
        <f t="shared" si="66"/>
        <v>0</v>
      </c>
      <c r="V29" s="78">
        <f t="shared" si="66"/>
        <v>0</v>
      </c>
      <c r="W29" s="168" t="s">
        <v>20</v>
      </c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  <c r="AH29" s="114"/>
    </row>
    <row r="30" spans="2:34" ht="34" customHeight="1" x14ac:dyDescent="0.55000000000000004">
      <c r="B30" s="168" t="s">
        <v>22</v>
      </c>
      <c r="C30" s="88"/>
      <c r="D30" s="84"/>
      <c r="E30" s="84"/>
      <c r="F30" s="85"/>
      <c r="G30" s="86"/>
      <c r="H30" s="84"/>
      <c r="I30" s="84"/>
      <c r="J30" s="87"/>
      <c r="K30" s="88"/>
      <c r="L30" s="84"/>
      <c r="M30" s="84"/>
      <c r="N30" s="85"/>
      <c r="O30" s="86"/>
      <c r="P30" s="84"/>
      <c r="Q30" s="84"/>
      <c r="R30" s="87"/>
      <c r="S30" s="88"/>
      <c r="T30" s="84"/>
      <c r="U30" s="84"/>
      <c r="V30" s="84"/>
      <c r="W30" s="168" t="s">
        <v>22</v>
      </c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</row>
    <row r="31" spans="2:34" ht="34" customHeight="1" x14ac:dyDescent="0.55000000000000004">
      <c r="B31" s="168" t="s">
        <v>24</v>
      </c>
      <c r="C31" s="88"/>
      <c r="D31" s="84"/>
      <c r="E31" s="84"/>
      <c r="F31" s="85"/>
      <c r="G31" s="86"/>
      <c r="H31" s="84"/>
      <c r="I31" s="84"/>
      <c r="J31" s="87"/>
      <c r="K31" s="88"/>
      <c r="L31" s="84"/>
      <c r="M31" s="84"/>
      <c r="N31" s="85"/>
      <c r="O31" s="86"/>
      <c r="P31" s="84"/>
      <c r="Q31" s="84"/>
      <c r="R31" s="87"/>
      <c r="S31" s="88"/>
      <c r="T31" s="84"/>
      <c r="U31" s="84"/>
      <c r="V31" s="84"/>
      <c r="W31" s="168" t="s">
        <v>24</v>
      </c>
      <c r="X31" s="114"/>
      <c r="Y31" s="114"/>
      <c r="Z31" s="114"/>
      <c r="AA31" s="114"/>
      <c r="AB31" s="114"/>
      <c r="AC31" s="114"/>
      <c r="AD31" s="114"/>
      <c r="AE31" s="114"/>
      <c r="AF31" s="114"/>
      <c r="AG31" s="114"/>
      <c r="AH31" s="114"/>
    </row>
    <row r="32" spans="2:34" ht="34" customHeight="1" x14ac:dyDescent="0.55000000000000004">
      <c r="B32" s="168" t="s">
        <v>26</v>
      </c>
      <c r="C32" s="88"/>
      <c r="D32" s="84"/>
      <c r="E32" s="84"/>
      <c r="F32" s="85"/>
      <c r="G32" s="86"/>
      <c r="H32" s="84"/>
      <c r="I32" s="84"/>
      <c r="J32" s="87"/>
      <c r="K32" s="88"/>
      <c r="L32" s="84"/>
      <c r="M32" s="84"/>
      <c r="N32" s="85"/>
      <c r="O32" s="86"/>
      <c r="P32" s="84"/>
      <c r="Q32" s="84"/>
      <c r="R32" s="87"/>
      <c r="S32" s="88"/>
      <c r="T32" s="84"/>
      <c r="U32" s="84"/>
      <c r="V32" s="84"/>
      <c r="W32" s="168" t="s">
        <v>26</v>
      </c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</row>
    <row r="33" spans="2:34" ht="34" customHeight="1" thickBot="1" x14ac:dyDescent="0.6">
      <c r="B33" s="169" t="s">
        <v>28</v>
      </c>
      <c r="C33" s="94"/>
      <c r="D33" s="90"/>
      <c r="E33" s="90"/>
      <c r="F33" s="91"/>
      <c r="G33" s="92"/>
      <c r="H33" s="90"/>
      <c r="I33" s="90"/>
      <c r="J33" s="93"/>
      <c r="K33" s="94"/>
      <c r="L33" s="90"/>
      <c r="M33" s="90"/>
      <c r="N33" s="91"/>
      <c r="O33" s="92"/>
      <c r="P33" s="90"/>
      <c r="Q33" s="90"/>
      <c r="R33" s="93"/>
      <c r="S33" s="94"/>
      <c r="T33" s="90"/>
      <c r="U33" s="90"/>
      <c r="V33" s="90"/>
      <c r="W33" s="169" t="s">
        <v>28</v>
      </c>
      <c r="X33" s="114"/>
      <c r="Y33" s="114"/>
      <c r="Z33" s="114"/>
      <c r="AA33" s="114"/>
      <c r="AB33" s="114"/>
      <c r="AC33" s="114"/>
      <c r="AD33" s="114"/>
      <c r="AE33" s="114"/>
      <c r="AF33" s="114"/>
      <c r="AG33" s="114"/>
      <c r="AH33" s="114"/>
    </row>
    <row r="34" spans="2:34" ht="34" customHeight="1" x14ac:dyDescent="0.55000000000000004">
      <c r="B34" s="170" t="s">
        <v>18</v>
      </c>
      <c r="C34" s="100">
        <f>IF(選手!H21&lt;&gt;"",選手!H21,"")</f>
        <v>40</v>
      </c>
      <c r="D34" s="96">
        <f>IF(選手!H20&lt;&gt;"",選手!H20,"")</f>
        <v>39</v>
      </c>
      <c r="E34" s="96">
        <f>IF(選手!H19&lt;&gt;"",選手!H19,"")</f>
        <v>38</v>
      </c>
      <c r="F34" s="97">
        <f>IF(選手!H18&lt;&gt;"",選手!H18,"")</f>
        <v>37</v>
      </c>
      <c r="G34" s="98">
        <f>IF(選手!H17&lt;&gt;"",選手!H17,"")</f>
        <v>36</v>
      </c>
      <c r="H34" s="96">
        <f>IF(選手!H16&lt;&gt;"",選手!H16,"")</f>
        <v>35</v>
      </c>
      <c r="I34" s="96">
        <f>IF(選手!H15&lt;&gt;"",選手!H15,"")</f>
        <v>34</v>
      </c>
      <c r="J34" s="99">
        <f>IF(選手!H14&lt;&gt;"",選手!H14,"")</f>
        <v>33</v>
      </c>
      <c r="K34" s="100">
        <f>IF(選手!H13&lt;&gt;"",選手!H13,"")</f>
        <v>32</v>
      </c>
      <c r="L34" s="96">
        <f>IF(選手!H12&lt;&gt;"",選手!H12,"")</f>
        <v>31</v>
      </c>
      <c r="M34" s="96">
        <f>IF(選手!H11&lt;&gt;"",選手!H11,"")</f>
        <v>30</v>
      </c>
      <c r="N34" s="97">
        <f>IF(選手!H10&lt;&gt;"",選手!H10,"")</f>
        <v>29</v>
      </c>
      <c r="O34" s="98">
        <f>IF(選手!H9&lt;&gt;"",選手!H9,"")</f>
        <v>28</v>
      </c>
      <c r="P34" s="96">
        <f>IF(選手!H8&lt;&gt;"",選手!H8,"")</f>
        <v>27</v>
      </c>
      <c r="Q34" s="96">
        <f>IF(選手!H7&lt;&gt;"",選手!H7,"")</f>
        <v>26</v>
      </c>
      <c r="R34" s="99">
        <f>IF(選手!H6&lt;&gt;"",選手!H6,"")</f>
        <v>25</v>
      </c>
      <c r="S34" s="100">
        <f>IF(選手!H5&lt;&gt;"",選手!H5,"")</f>
        <v>24</v>
      </c>
      <c r="T34" s="96">
        <f>IF(選手!H4&lt;&gt;"",選手!H4,"")</f>
        <v>23</v>
      </c>
      <c r="U34" s="96">
        <f>IF(選手!H3&lt;&gt;"",選手!H3,"")</f>
        <v>22</v>
      </c>
      <c r="V34" s="96">
        <f>IF(選手!H2&lt;&gt;"",選手!H2,"")</f>
        <v>21</v>
      </c>
      <c r="W34" s="170" t="s">
        <v>18</v>
      </c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</row>
    <row r="35" spans="2:34" ht="34" customHeight="1" x14ac:dyDescent="0.55000000000000004">
      <c r="B35" s="168" t="s">
        <v>1</v>
      </c>
      <c r="C35" s="106" t="str">
        <f>IF(選手!J21&lt;&gt;"",選手!J21,"")</f>
        <v>女</v>
      </c>
      <c r="D35" s="102" t="str">
        <f>IF(選手!J20&lt;&gt;"",選手!J20,"")</f>
        <v>女</v>
      </c>
      <c r="E35" s="102" t="str">
        <f>IF(選手!J19&lt;&gt;"",選手!J19,"")</f>
        <v>女</v>
      </c>
      <c r="F35" s="103" t="str">
        <f>IF(選手!J18&lt;&gt;"",選手!J18,"")</f>
        <v>女</v>
      </c>
      <c r="G35" s="104" t="str">
        <f>IF(選手!J17&lt;&gt;"",選手!J17,"")</f>
        <v>女</v>
      </c>
      <c r="H35" s="102" t="str">
        <f>IF(選手!J16&lt;&gt;"",選手!J16,"")</f>
        <v>女</v>
      </c>
      <c r="I35" s="102" t="str">
        <f>IF(選手!J15&lt;&gt;"",選手!J15,"")</f>
        <v>女</v>
      </c>
      <c r="J35" s="105" t="str">
        <f>IF(選手!J14&lt;&gt;"",選手!J14,"")</f>
        <v>女</v>
      </c>
      <c r="K35" s="106" t="str">
        <f>IF(選手!J13&lt;&gt;"",選手!J13,"")</f>
        <v>男</v>
      </c>
      <c r="L35" s="102" t="str">
        <f>IF(選手!J12&lt;&gt;"",選手!J12,"")</f>
        <v>男</v>
      </c>
      <c r="M35" s="102" t="str">
        <f>IF(選手!J11&lt;&gt;"",選手!J11,"")</f>
        <v>男</v>
      </c>
      <c r="N35" s="103" t="str">
        <f>IF(選手!J10&lt;&gt;"",選手!J10,"")</f>
        <v>男</v>
      </c>
      <c r="O35" s="104" t="str">
        <f>IF(選手!J9&lt;&gt;"",選手!J9,"")</f>
        <v>女</v>
      </c>
      <c r="P35" s="102" t="str">
        <f>IF(選手!J8&lt;&gt;"",選手!J8,"")</f>
        <v>女</v>
      </c>
      <c r="Q35" s="102" t="str">
        <f>IF(選手!J7&lt;&gt;"",選手!J7,"")</f>
        <v>女</v>
      </c>
      <c r="R35" s="105" t="str">
        <f>IF(選手!J6&lt;&gt;"",選手!J6,"")</f>
        <v>女</v>
      </c>
      <c r="S35" s="106" t="str">
        <f>IF(選手!J5&lt;&gt;"",選手!J5,"")</f>
        <v>男</v>
      </c>
      <c r="T35" s="102" t="str">
        <f>IF(選手!J4&lt;&gt;"",選手!J4,"")</f>
        <v>男</v>
      </c>
      <c r="U35" s="102" t="str">
        <f>IF(選手!J3&lt;&gt;"",選手!J3,"")</f>
        <v>男</v>
      </c>
      <c r="V35" s="102" t="str">
        <f>IF(選手!J2&lt;&gt;"",選手!J2,"")</f>
        <v>男</v>
      </c>
      <c r="W35" s="168" t="s">
        <v>1</v>
      </c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</row>
    <row r="36" spans="2:34" ht="180" customHeight="1" x14ac:dyDescent="0.55000000000000004">
      <c r="B36" s="107" t="s">
        <v>128</v>
      </c>
      <c r="C36" s="113" t="str">
        <f>IF(選手!I21&lt;&gt;"",選手!I21,"")</f>
        <v>佃 弘美</v>
      </c>
      <c r="D36" s="109" t="str">
        <f>IF(選手!I20&lt;&gt;"",選手!I20,"")</f>
        <v>片桐 志保</v>
      </c>
      <c r="E36" s="109" t="str">
        <f>IF(選手!I19&lt;&gt;"",選手!I19,"")</f>
        <v>山口 このみ</v>
      </c>
      <c r="F36" s="110" t="str">
        <f>IF(選手!I18&lt;&gt;"",選手!I18,"")</f>
        <v>遠藤 恵美子</v>
      </c>
      <c r="G36" s="111" t="str">
        <f>IF(選手!I17&lt;&gt;"",選手!I17,"")</f>
        <v>赤塚 正子</v>
      </c>
      <c r="H36" s="109" t="str">
        <f>IF(選手!I16&lt;&gt;"",選手!I16,"")</f>
        <v>谷口 洋子</v>
      </c>
      <c r="I36" s="109" t="str">
        <f>IF(選手!I15&lt;&gt;"",選手!I15,"")</f>
        <v>浅井 明美</v>
      </c>
      <c r="J36" s="112" t="str">
        <f>IF(選手!I14&lt;&gt;"",選手!I14,"")</f>
        <v>三田村 静子</v>
      </c>
      <c r="K36" s="113" t="str">
        <f>IF(選手!I13&lt;&gt;"",選手!I13,"")</f>
        <v>新美 友治</v>
      </c>
      <c r="L36" s="109" t="str">
        <f>IF(選手!I12&lt;&gt;"",選手!I12,"")</f>
        <v>窪田 達也</v>
      </c>
      <c r="M36" s="109" t="str">
        <f>IF(選手!I11&lt;&gt;"",選手!I11,"")</f>
        <v>米田 康介</v>
      </c>
      <c r="N36" s="110" t="str">
        <f>IF(選手!I10&lt;&gt;"",選手!I10,"")</f>
        <v>志手 俊二</v>
      </c>
      <c r="O36" s="111" t="str">
        <f>IF(選手!I7&lt;&gt;"",選手!I7,"")</f>
        <v>安達 初枝</v>
      </c>
      <c r="P36" s="109" t="str">
        <f>IF(選手!I9&lt;&gt;"",選手!I9,"")</f>
        <v>田中 沙紀子</v>
      </c>
      <c r="Q36" s="109" t="str">
        <f>IF(選手!I8&lt;&gt;"",選手!I8,"")</f>
        <v>高田 優子</v>
      </c>
      <c r="R36" s="112" t="str">
        <f>IF(選手!I6&lt;&gt;"",選手!I6,"")</f>
        <v>北川 裕希子</v>
      </c>
      <c r="S36" s="113" t="str">
        <f>IF(選手!I5&lt;&gt;"",選手!I5,"")</f>
        <v>西尾 雅司</v>
      </c>
      <c r="T36" s="109" t="str">
        <f>IF(選手!I4&lt;&gt;"",選手!I4,"")</f>
        <v>山田 英治</v>
      </c>
      <c r="U36" s="109" t="str">
        <f>IF(選手!I3&lt;&gt;"",選手!I3,"")</f>
        <v>阿知波 正</v>
      </c>
      <c r="V36" s="109" t="str">
        <f>IF(選手!I2&lt;&gt;"",選手!I2,"")</f>
        <v>大竹 誠</v>
      </c>
      <c r="W36" s="107" t="s">
        <v>128</v>
      </c>
      <c r="X36" s="114"/>
      <c r="Y36" s="114"/>
      <c r="Z36" s="114"/>
      <c r="AA36" s="114"/>
      <c r="AB36" s="114"/>
      <c r="AC36" s="114"/>
      <c r="AD36" s="114"/>
      <c r="AE36" s="114"/>
      <c r="AF36" s="114"/>
      <c r="AG36" s="114"/>
      <c r="AH36" s="114"/>
    </row>
    <row r="38" spans="2:34" x14ac:dyDescent="0.55000000000000004">
      <c r="B38" s="168" t="s">
        <v>2</v>
      </c>
      <c r="C38" s="175" t="str">
        <f>選手!L14</f>
        <v>豊明B</v>
      </c>
      <c r="D38" s="175"/>
      <c r="E38" s="175"/>
      <c r="F38" s="175"/>
      <c r="G38" s="176" t="str">
        <f>選手!L10</f>
        <v>豊明A</v>
      </c>
      <c r="H38" s="175"/>
      <c r="I38" s="175"/>
      <c r="J38" s="177"/>
      <c r="K38" s="176" t="str">
        <f>選手!L6</f>
        <v>長久手B</v>
      </c>
      <c r="L38" s="175"/>
      <c r="M38" s="175"/>
      <c r="N38" s="177"/>
      <c r="O38" s="175" t="str">
        <f>選手!L2</f>
        <v>長久手A</v>
      </c>
      <c r="P38" s="175"/>
      <c r="Q38" s="175"/>
      <c r="R38" s="178"/>
      <c r="S38" s="226" t="s">
        <v>2</v>
      </c>
      <c r="T38" s="226"/>
      <c r="X38" s="182">
        <f>選手!Q6</f>
        <v>0</v>
      </c>
      <c r="Y38" s="175"/>
      <c r="Z38" s="175"/>
      <c r="AA38" s="175"/>
      <c r="AB38" s="183">
        <f>選手!Q2</f>
        <v>0</v>
      </c>
      <c r="AC38" s="175"/>
      <c r="AD38" s="175"/>
      <c r="AE38" s="178"/>
    </row>
    <row r="39" spans="2:34" x14ac:dyDescent="0.55000000000000004">
      <c r="B39" s="168" t="s">
        <v>3</v>
      </c>
      <c r="C39" s="172">
        <f t="shared" ref="C39" si="67">SUM(C41:F41)</f>
        <v>0</v>
      </c>
      <c r="D39" s="173"/>
      <c r="E39" s="173"/>
      <c r="F39" s="174"/>
      <c r="G39" s="179">
        <f t="shared" ref="G39" si="68">SUM(G41:J41)</f>
        <v>0</v>
      </c>
      <c r="H39" s="173"/>
      <c r="I39" s="173"/>
      <c r="J39" s="180"/>
      <c r="K39" s="179">
        <f t="shared" ref="K39" si="69">SUM(K41:N41)</f>
        <v>0</v>
      </c>
      <c r="L39" s="173"/>
      <c r="M39" s="173"/>
      <c r="N39" s="180"/>
      <c r="O39" s="172">
        <f t="shared" ref="O39" si="70">SUM(O41:R41)</f>
        <v>0</v>
      </c>
      <c r="P39" s="173"/>
      <c r="Q39" s="173"/>
      <c r="R39" s="173"/>
      <c r="S39" s="226" t="s">
        <v>3</v>
      </c>
      <c r="T39" s="226"/>
      <c r="X39" s="173">
        <f>SUM(X41:AA41)</f>
        <v>0</v>
      </c>
      <c r="Y39" s="173"/>
      <c r="Z39" s="173"/>
      <c r="AA39" s="174"/>
      <c r="AB39" s="181">
        <f>SUM(AB41:AE41)</f>
        <v>0</v>
      </c>
      <c r="AC39" s="173"/>
      <c r="AD39" s="173"/>
      <c r="AE39" s="173"/>
    </row>
    <row r="40" spans="2:34" ht="32.5" hidden="1" customHeight="1" x14ac:dyDescent="0.55000000000000004">
      <c r="B40" s="168" t="s">
        <v>32</v>
      </c>
      <c r="C40" s="70">
        <f t="shared" ref="C40:R40" si="71">C41+0.1+(IF(C51="〇",1,0)*0.01)+(IF(C50="〇",1,0)*0.001)+(IF(C49="〇",1,0)*0.0001)+(IF(C48="〇",1,0)*0.00001)+(IF(C46="〇",1,0)*0.000001)+(IF(C45="〇",1,0)*0.0000001)+(IF(C44="〇",1,0)*0.00000001)+(IF(C43="〇",1,0)*0.000000001)</f>
        <v>0.1</v>
      </c>
      <c r="D40" s="66">
        <f t="shared" si="71"/>
        <v>0.1</v>
      </c>
      <c r="E40" s="66">
        <f t="shared" si="71"/>
        <v>0.1</v>
      </c>
      <c r="F40" s="67">
        <f t="shared" si="71"/>
        <v>0.1</v>
      </c>
      <c r="G40" s="68">
        <f t="shared" si="71"/>
        <v>0.1</v>
      </c>
      <c r="H40" s="66">
        <f t="shared" si="71"/>
        <v>0.1</v>
      </c>
      <c r="I40" s="66">
        <f t="shared" si="71"/>
        <v>0.1</v>
      </c>
      <c r="J40" s="66">
        <f t="shared" si="71"/>
        <v>0.1</v>
      </c>
      <c r="K40" s="66">
        <f t="shared" si="71"/>
        <v>0.1</v>
      </c>
      <c r="L40" s="66">
        <f t="shared" si="71"/>
        <v>0.1</v>
      </c>
      <c r="M40" s="66">
        <f t="shared" si="71"/>
        <v>0.1</v>
      </c>
      <c r="N40" s="69">
        <f t="shared" si="71"/>
        <v>0.1</v>
      </c>
      <c r="O40" s="70">
        <f t="shared" si="71"/>
        <v>0.1</v>
      </c>
      <c r="P40" s="66">
        <f t="shared" si="71"/>
        <v>0.1</v>
      </c>
      <c r="Q40" s="66">
        <f t="shared" si="71"/>
        <v>0.1</v>
      </c>
      <c r="R40" s="66">
        <f t="shared" si="71"/>
        <v>0.1</v>
      </c>
      <c r="S40" s="226" t="s">
        <v>32</v>
      </c>
      <c r="T40" s="226"/>
      <c r="X40" s="66">
        <f t="shared" ref="X40:AE40" si="72">X41+0.1+(IF(X51="〇",1,0)*0.01)+(IF(X50="〇",1,0)*0.001)+(IF(X49="〇",1,0)*0.0001)+(IF(X48="〇",1,0)*0.00001)+(IF(X46="〇",1,0)*0.000001)+(IF(X45="〇",1,0)*0.0000001)+(IF(X44="〇",1,0)*0.00000001)+(IF(X43="〇",1,0)*0.000000001)</f>
        <v>0.1</v>
      </c>
      <c r="Y40" s="66">
        <f t="shared" si="72"/>
        <v>0.1</v>
      </c>
      <c r="Z40" s="66">
        <f t="shared" si="72"/>
        <v>0.1</v>
      </c>
      <c r="AA40" s="67">
        <f t="shared" si="72"/>
        <v>0.1</v>
      </c>
      <c r="AB40" s="65">
        <f t="shared" si="72"/>
        <v>0.1</v>
      </c>
      <c r="AC40" s="66">
        <f t="shared" si="72"/>
        <v>0.1</v>
      </c>
      <c r="AD40" s="66">
        <f t="shared" si="72"/>
        <v>0.1</v>
      </c>
      <c r="AE40" s="66">
        <f t="shared" si="72"/>
        <v>0.1</v>
      </c>
    </row>
    <row r="41" spans="2:34" ht="34" customHeight="1" x14ac:dyDescent="0.55000000000000004">
      <c r="B41" s="168" t="s">
        <v>4</v>
      </c>
      <c r="C41" s="76">
        <f t="shared" ref="C41" si="73">C42+C47</f>
        <v>0</v>
      </c>
      <c r="D41" s="72">
        <f t="shared" ref="D41" si="74">D42+D47</f>
        <v>0</v>
      </c>
      <c r="E41" s="72">
        <f t="shared" ref="E41" si="75">E42+E47</f>
        <v>0</v>
      </c>
      <c r="F41" s="73">
        <f t="shared" ref="F41" si="76">F42+F47</f>
        <v>0</v>
      </c>
      <c r="G41" s="74">
        <f t="shared" ref="G41" si="77">G42+G47</f>
        <v>0</v>
      </c>
      <c r="H41" s="72">
        <f t="shared" ref="H41" si="78">H42+H47</f>
        <v>0</v>
      </c>
      <c r="I41" s="72">
        <f t="shared" ref="I41" si="79">I42+I47</f>
        <v>0</v>
      </c>
      <c r="J41" s="75">
        <f t="shared" ref="J41" si="80">J42+J47</f>
        <v>0</v>
      </c>
      <c r="K41" s="74">
        <f t="shared" ref="K41" si="81">K42+K47</f>
        <v>0</v>
      </c>
      <c r="L41" s="72">
        <f t="shared" ref="L41" si="82">L42+L47</f>
        <v>0</v>
      </c>
      <c r="M41" s="72">
        <f t="shared" ref="M41" si="83">M42+M47</f>
        <v>0</v>
      </c>
      <c r="N41" s="75">
        <f t="shared" ref="N41" si="84">N42+N47</f>
        <v>0</v>
      </c>
      <c r="O41" s="76">
        <f t="shared" ref="O41" si="85">O42+O47</f>
        <v>0</v>
      </c>
      <c r="P41" s="72">
        <f t="shared" ref="P41" si="86">P42+P47</f>
        <v>0</v>
      </c>
      <c r="Q41" s="72">
        <f t="shared" ref="Q41" si="87">Q42+Q47</f>
        <v>0</v>
      </c>
      <c r="R41" s="72">
        <f t="shared" ref="R41" si="88">R42+R47</f>
        <v>0</v>
      </c>
      <c r="S41" s="226" t="s">
        <v>4</v>
      </c>
      <c r="T41" s="226"/>
      <c r="X41" s="72">
        <f>X42+X47</f>
        <v>0</v>
      </c>
      <c r="Y41" s="72">
        <f t="shared" ref="Y41" si="89">Y42+Y47</f>
        <v>0</v>
      </c>
      <c r="Z41" s="72">
        <f t="shared" ref="Z41" si="90">Z42+Z47</f>
        <v>0</v>
      </c>
      <c r="AA41" s="73">
        <f t="shared" ref="AA41" si="91">AA42+AA47</f>
        <v>0</v>
      </c>
      <c r="AB41" s="71">
        <f t="shared" ref="AB41" si="92">AB42+AB47</f>
        <v>0</v>
      </c>
      <c r="AC41" s="72">
        <f t="shared" ref="AC41" si="93">AC42+AC47</f>
        <v>0</v>
      </c>
      <c r="AD41" s="72">
        <f t="shared" ref="AD41" si="94">AD42+AD47</f>
        <v>0</v>
      </c>
      <c r="AE41" s="72">
        <f t="shared" ref="AE41" si="95">AE42+AE47</f>
        <v>0</v>
      </c>
    </row>
    <row r="42" spans="2:34" ht="34" customHeight="1" x14ac:dyDescent="0.55000000000000004">
      <c r="B42" s="168" t="s">
        <v>21</v>
      </c>
      <c r="C42" s="82">
        <f t="shared" ref="C42" si="96">COUNTIF(C43:C46,"〇")</f>
        <v>0</v>
      </c>
      <c r="D42" s="78">
        <f t="shared" ref="D42" si="97">COUNTIF(D43:D46,"〇")</f>
        <v>0</v>
      </c>
      <c r="E42" s="78">
        <f t="shared" ref="E42" si="98">COUNTIF(E43:E46,"〇")</f>
        <v>0</v>
      </c>
      <c r="F42" s="79">
        <f t="shared" ref="F42" si="99">COUNTIF(F43:F46,"〇")</f>
        <v>0</v>
      </c>
      <c r="G42" s="80">
        <f t="shared" ref="G42" si="100">COUNTIF(G43:G46,"〇")</f>
        <v>0</v>
      </c>
      <c r="H42" s="78">
        <f t="shared" ref="H42" si="101">COUNTIF(H43:H46,"〇")</f>
        <v>0</v>
      </c>
      <c r="I42" s="78">
        <f t="shared" ref="I42" si="102">COUNTIF(I43:I46,"〇")</f>
        <v>0</v>
      </c>
      <c r="J42" s="81">
        <f t="shared" ref="J42" si="103">COUNTIF(J43:J46,"〇")</f>
        <v>0</v>
      </c>
      <c r="K42" s="80">
        <f t="shared" ref="K42" si="104">COUNTIF(K43:K46,"〇")</f>
        <v>0</v>
      </c>
      <c r="L42" s="78">
        <f t="shared" ref="L42" si="105">COUNTIF(L43:L46,"〇")</f>
        <v>0</v>
      </c>
      <c r="M42" s="78">
        <f t="shared" ref="M42" si="106">COUNTIF(M43:M46,"〇")</f>
        <v>0</v>
      </c>
      <c r="N42" s="81">
        <f t="shared" ref="N42" si="107">COUNTIF(N43:N46,"〇")</f>
        <v>0</v>
      </c>
      <c r="O42" s="82">
        <f t="shared" ref="O42" si="108">COUNTIF(O43:O46,"〇")</f>
        <v>0</v>
      </c>
      <c r="P42" s="78">
        <f t="shared" ref="P42" si="109">COUNTIF(P43:P46,"〇")</f>
        <v>0</v>
      </c>
      <c r="Q42" s="78">
        <f t="shared" ref="Q42" si="110">COUNTIF(Q43:Q46,"〇")</f>
        <v>0</v>
      </c>
      <c r="R42" s="78">
        <f t="shared" ref="R42" si="111">COUNTIF(R43:R46,"〇")</f>
        <v>0</v>
      </c>
      <c r="S42" s="226" t="s">
        <v>21</v>
      </c>
      <c r="T42" s="226"/>
      <c r="X42" s="78">
        <f>COUNTIF(X43:X46,"〇")</f>
        <v>0</v>
      </c>
      <c r="Y42" s="78">
        <f t="shared" ref="Y42" si="112">COUNTIF(Y43:Y46,"〇")</f>
        <v>0</v>
      </c>
      <c r="Z42" s="78">
        <f t="shared" ref="Z42" si="113">COUNTIF(Z43:Z46,"〇")</f>
        <v>0</v>
      </c>
      <c r="AA42" s="79">
        <f t="shared" ref="AA42" si="114">COUNTIF(AA43:AA46,"〇")</f>
        <v>0</v>
      </c>
      <c r="AB42" s="77">
        <f t="shared" ref="AB42" si="115">COUNTIF(AB43:AB46,"〇")</f>
        <v>0</v>
      </c>
      <c r="AC42" s="78">
        <f t="shared" ref="AC42" si="116">COUNTIF(AC43:AC46,"〇")</f>
        <v>0</v>
      </c>
      <c r="AD42" s="78">
        <f t="shared" ref="AD42" si="117">COUNTIF(AD43:AD46,"〇")</f>
        <v>0</v>
      </c>
      <c r="AE42" s="78">
        <f t="shared" ref="AE42" si="118">COUNTIF(AE43:AE46,"〇")</f>
        <v>0</v>
      </c>
    </row>
    <row r="43" spans="2:34" ht="34" customHeight="1" x14ac:dyDescent="0.55000000000000004">
      <c r="B43" s="168" t="s">
        <v>22</v>
      </c>
      <c r="C43" s="88"/>
      <c r="D43" s="84"/>
      <c r="E43" s="84"/>
      <c r="F43" s="85"/>
      <c r="G43" s="86"/>
      <c r="H43" s="84"/>
      <c r="I43" s="84"/>
      <c r="J43" s="87"/>
      <c r="K43" s="86"/>
      <c r="L43" s="84"/>
      <c r="M43" s="84"/>
      <c r="N43" s="87"/>
      <c r="O43" s="88"/>
      <c r="P43" s="84"/>
      <c r="Q43" s="84"/>
      <c r="R43" s="84"/>
      <c r="S43" s="226" t="s">
        <v>22</v>
      </c>
      <c r="T43" s="226"/>
      <c r="X43" s="84"/>
      <c r="Y43" s="84"/>
      <c r="Z43" s="84"/>
      <c r="AA43" s="85"/>
      <c r="AB43" s="83"/>
      <c r="AC43" s="84"/>
      <c r="AD43" s="84"/>
      <c r="AE43" s="84"/>
    </row>
    <row r="44" spans="2:34" ht="34" customHeight="1" x14ac:dyDescent="0.55000000000000004">
      <c r="B44" s="168" t="s">
        <v>24</v>
      </c>
      <c r="C44" s="88"/>
      <c r="D44" s="84"/>
      <c r="E44" s="84"/>
      <c r="F44" s="85"/>
      <c r="G44" s="86"/>
      <c r="H44" s="84"/>
      <c r="I44" s="84"/>
      <c r="J44" s="87"/>
      <c r="K44" s="86"/>
      <c r="L44" s="84"/>
      <c r="M44" s="84"/>
      <c r="N44" s="87"/>
      <c r="O44" s="88"/>
      <c r="P44" s="84"/>
      <c r="Q44" s="84"/>
      <c r="R44" s="84"/>
      <c r="S44" s="226" t="s">
        <v>24</v>
      </c>
      <c r="T44" s="226"/>
      <c r="X44" s="84"/>
      <c r="Y44" s="84"/>
      <c r="Z44" s="84"/>
      <c r="AA44" s="85"/>
      <c r="AB44" s="83"/>
      <c r="AC44" s="84"/>
      <c r="AD44" s="84"/>
      <c r="AE44" s="84"/>
    </row>
    <row r="45" spans="2:34" ht="34" customHeight="1" x14ac:dyDescent="0.55000000000000004">
      <c r="B45" s="168" t="s">
        <v>26</v>
      </c>
      <c r="C45" s="88"/>
      <c r="D45" s="84"/>
      <c r="E45" s="84"/>
      <c r="F45" s="85"/>
      <c r="G45" s="86"/>
      <c r="H45" s="84"/>
      <c r="I45" s="84"/>
      <c r="J45" s="87"/>
      <c r="K45" s="86"/>
      <c r="L45" s="84"/>
      <c r="M45" s="84"/>
      <c r="N45" s="87"/>
      <c r="O45" s="88"/>
      <c r="P45" s="84"/>
      <c r="Q45" s="84"/>
      <c r="R45" s="84"/>
      <c r="S45" s="226" t="s">
        <v>26</v>
      </c>
      <c r="T45" s="226"/>
      <c r="X45" s="84"/>
      <c r="Y45" s="84"/>
      <c r="Z45" s="84"/>
      <c r="AA45" s="85"/>
      <c r="AB45" s="83"/>
      <c r="AC45" s="84"/>
      <c r="AD45" s="84"/>
      <c r="AE45" s="84"/>
    </row>
    <row r="46" spans="2:34" ht="34" customHeight="1" x14ac:dyDescent="0.55000000000000004">
      <c r="B46" s="168" t="s">
        <v>28</v>
      </c>
      <c r="C46" s="88"/>
      <c r="D46" s="84"/>
      <c r="E46" s="84"/>
      <c r="F46" s="85"/>
      <c r="G46" s="86"/>
      <c r="H46" s="84"/>
      <c r="I46" s="84"/>
      <c r="J46" s="87"/>
      <c r="K46" s="86"/>
      <c r="L46" s="84"/>
      <c r="M46" s="84"/>
      <c r="N46" s="87"/>
      <c r="O46" s="88"/>
      <c r="P46" s="84"/>
      <c r="Q46" s="84"/>
      <c r="R46" s="84"/>
      <c r="S46" s="226" t="s">
        <v>28</v>
      </c>
      <c r="T46" s="226"/>
      <c r="X46" s="84"/>
      <c r="Y46" s="84"/>
      <c r="Z46" s="84"/>
      <c r="AA46" s="85"/>
      <c r="AB46" s="83"/>
      <c r="AC46" s="84"/>
      <c r="AD46" s="84"/>
      <c r="AE46" s="84"/>
    </row>
    <row r="47" spans="2:34" ht="34" customHeight="1" x14ac:dyDescent="0.55000000000000004">
      <c r="B47" s="168" t="s">
        <v>20</v>
      </c>
      <c r="C47" s="82">
        <f t="shared" ref="C47" si="119">COUNTIF(C48:C51,"〇")</f>
        <v>0</v>
      </c>
      <c r="D47" s="78">
        <f t="shared" ref="D47" si="120">COUNTIF(D48:D51,"〇")</f>
        <v>0</v>
      </c>
      <c r="E47" s="78">
        <f t="shared" ref="E47" si="121">COUNTIF(E48:E51,"〇")</f>
        <v>0</v>
      </c>
      <c r="F47" s="79">
        <f t="shared" ref="F47" si="122">COUNTIF(F48:F51,"〇")</f>
        <v>0</v>
      </c>
      <c r="G47" s="80">
        <f t="shared" ref="G47" si="123">COUNTIF(G48:G51,"〇")</f>
        <v>0</v>
      </c>
      <c r="H47" s="78">
        <f t="shared" ref="H47" si="124">COUNTIF(H48:H51,"〇")</f>
        <v>0</v>
      </c>
      <c r="I47" s="78">
        <f t="shared" ref="I47" si="125">COUNTIF(I48:I51,"〇")</f>
        <v>0</v>
      </c>
      <c r="J47" s="81">
        <f t="shared" ref="J47" si="126">COUNTIF(J48:J51,"〇")</f>
        <v>0</v>
      </c>
      <c r="K47" s="80">
        <f t="shared" ref="K47" si="127">COUNTIF(K48:K51,"〇")</f>
        <v>0</v>
      </c>
      <c r="L47" s="78">
        <f t="shared" ref="L47" si="128">COUNTIF(L48:L51,"〇")</f>
        <v>0</v>
      </c>
      <c r="M47" s="78">
        <f t="shared" ref="M47" si="129">COUNTIF(M48:M51,"〇")</f>
        <v>0</v>
      </c>
      <c r="N47" s="81">
        <f t="shared" ref="N47" si="130">COUNTIF(N48:N51,"〇")</f>
        <v>0</v>
      </c>
      <c r="O47" s="82">
        <f t="shared" ref="O47" si="131">COUNTIF(O48:O51,"〇")</f>
        <v>0</v>
      </c>
      <c r="P47" s="78">
        <f t="shared" ref="P47" si="132">COUNTIF(P48:P51,"〇")</f>
        <v>0</v>
      </c>
      <c r="Q47" s="78">
        <f t="shared" ref="Q47" si="133">COUNTIF(Q48:Q51,"〇")</f>
        <v>0</v>
      </c>
      <c r="R47" s="78">
        <f t="shared" ref="R47" si="134">COUNTIF(R48:R51,"〇")</f>
        <v>0</v>
      </c>
      <c r="S47" s="226" t="s">
        <v>20</v>
      </c>
      <c r="T47" s="226"/>
      <c r="X47" s="78">
        <f>COUNTIF(X48:X51,"〇")</f>
        <v>0</v>
      </c>
      <c r="Y47" s="78">
        <f t="shared" ref="Y47" si="135">COUNTIF(Y48:Y51,"〇")</f>
        <v>0</v>
      </c>
      <c r="Z47" s="78">
        <f t="shared" ref="Z47" si="136">COUNTIF(Z48:Z51,"〇")</f>
        <v>0</v>
      </c>
      <c r="AA47" s="79">
        <f t="shared" ref="AA47" si="137">COUNTIF(AA48:AA51,"〇")</f>
        <v>0</v>
      </c>
      <c r="AB47" s="77">
        <f t="shared" ref="AB47" si="138">COUNTIF(AB48:AB51,"〇")</f>
        <v>0</v>
      </c>
      <c r="AC47" s="78">
        <f t="shared" ref="AC47" si="139">COUNTIF(AC48:AC51,"〇")</f>
        <v>0</v>
      </c>
      <c r="AD47" s="78">
        <f t="shared" ref="AD47" si="140">COUNTIF(AD48:AD51,"〇")</f>
        <v>0</v>
      </c>
      <c r="AE47" s="78">
        <f t="shared" ref="AE47" si="141">COUNTIF(AE48:AE51,"〇")</f>
        <v>0</v>
      </c>
    </row>
    <row r="48" spans="2:34" ht="34" customHeight="1" x14ac:dyDescent="0.55000000000000004">
      <c r="B48" s="168" t="s">
        <v>22</v>
      </c>
      <c r="C48" s="88"/>
      <c r="D48" s="84"/>
      <c r="E48" s="84"/>
      <c r="F48" s="85"/>
      <c r="G48" s="86"/>
      <c r="H48" s="84"/>
      <c r="I48" s="84"/>
      <c r="J48" s="87"/>
      <c r="K48" s="86"/>
      <c r="L48" s="84"/>
      <c r="M48" s="84"/>
      <c r="N48" s="87"/>
      <c r="O48" s="88"/>
      <c r="P48" s="84"/>
      <c r="Q48" s="84"/>
      <c r="R48" s="84"/>
      <c r="S48" s="226" t="s">
        <v>22</v>
      </c>
      <c r="T48" s="226"/>
      <c r="X48" s="84"/>
      <c r="Y48" s="84"/>
      <c r="Z48" s="84"/>
      <c r="AA48" s="85"/>
      <c r="AB48" s="83"/>
      <c r="AC48" s="84"/>
      <c r="AD48" s="84"/>
      <c r="AE48" s="84"/>
    </row>
    <row r="49" spans="2:31" ht="34" customHeight="1" x14ac:dyDescent="0.55000000000000004">
      <c r="B49" s="168" t="s">
        <v>24</v>
      </c>
      <c r="C49" s="88"/>
      <c r="D49" s="84"/>
      <c r="E49" s="84"/>
      <c r="F49" s="85"/>
      <c r="G49" s="86"/>
      <c r="H49" s="84"/>
      <c r="I49" s="84"/>
      <c r="J49" s="87"/>
      <c r="K49" s="86"/>
      <c r="L49" s="84"/>
      <c r="M49" s="84"/>
      <c r="N49" s="87"/>
      <c r="O49" s="88"/>
      <c r="P49" s="84"/>
      <c r="Q49" s="84"/>
      <c r="R49" s="84"/>
      <c r="S49" s="226" t="s">
        <v>24</v>
      </c>
      <c r="T49" s="226"/>
      <c r="X49" s="84"/>
      <c r="Y49" s="84"/>
      <c r="Z49" s="84"/>
      <c r="AA49" s="85"/>
      <c r="AB49" s="83"/>
      <c r="AC49" s="84"/>
      <c r="AD49" s="84"/>
      <c r="AE49" s="84"/>
    </row>
    <row r="50" spans="2:31" ht="34" customHeight="1" x14ac:dyDescent="0.55000000000000004">
      <c r="B50" s="168" t="s">
        <v>26</v>
      </c>
      <c r="C50" s="88"/>
      <c r="D50" s="84"/>
      <c r="E50" s="84"/>
      <c r="F50" s="85"/>
      <c r="G50" s="86"/>
      <c r="H50" s="84"/>
      <c r="I50" s="84"/>
      <c r="J50" s="87"/>
      <c r="K50" s="86"/>
      <c r="L50" s="84"/>
      <c r="M50" s="84"/>
      <c r="N50" s="87"/>
      <c r="O50" s="88"/>
      <c r="P50" s="84"/>
      <c r="Q50" s="84"/>
      <c r="R50" s="84"/>
      <c r="S50" s="226" t="s">
        <v>26</v>
      </c>
      <c r="T50" s="226"/>
      <c r="X50" s="84"/>
      <c r="Y50" s="84"/>
      <c r="Z50" s="84"/>
      <c r="AA50" s="85"/>
      <c r="AB50" s="83"/>
      <c r="AC50" s="84"/>
      <c r="AD50" s="84"/>
      <c r="AE50" s="84"/>
    </row>
    <row r="51" spans="2:31" ht="34" customHeight="1" thickBot="1" x14ac:dyDescent="0.6">
      <c r="B51" s="169" t="s">
        <v>28</v>
      </c>
      <c r="C51" s="94"/>
      <c r="D51" s="90"/>
      <c r="E51" s="90"/>
      <c r="F51" s="91"/>
      <c r="G51" s="92"/>
      <c r="H51" s="90"/>
      <c r="I51" s="90"/>
      <c r="J51" s="93"/>
      <c r="K51" s="92"/>
      <c r="L51" s="90"/>
      <c r="M51" s="90"/>
      <c r="N51" s="93"/>
      <c r="O51" s="94"/>
      <c r="P51" s="90"/>
      <c r="Q51" s="90"/>
      <c r="R51" s="90"/>
      <c r="S51" s="229" t="s">
        <v>28</v>
      </c>
      <c r="T51" s="229"/>
      <c r="X51" s="90"/>
      <c r="Y51" s="90"/>
      <c r="Z51" s="90"/>
      <c r="AA51" s="91"/>
      <c r="AB51" s="89"/>
      <c r="AC51" s="90"/>
      <c r="AD51" s="90"/>
      <c r="AE51" s="90"/>
    </row>
    <row r="52" spans="2:31" ht="34" customHeight="1" x14ac:dyDescent="0.55000000000000004">
      <c r="B52" s="170" t="s">
        <v>18</v>
      </c>
      <c r="C52" s="100">
        <f>IF(選手!M17&lt;&gt;"",選手!M17,"")</f>
        <v>56</v>
      </c>
      <c r="D52" s="96">
        <f>IF(選手!M16&lt;&gt;"",選手!M16,"")</f>
        <v>55</v>
      </c>
      <c r="E52" s="96">
        <f>IF(選手!M15&lt;&gt;"",選手!M15,"")</f>
        <v>54</v>
      </c>
      <c r="F52" s="97">
        <f>IF(選手!M14&lt;&gt;"",選手!M14,"")</f>
        <v>53</v>
      </c>
      <c r="G52" s="98">
        <f>IF(選手!M13&lt;&gt;"",選手!M13,"")</f>
        <v>52</v>
      </c>
      <c r="H52" s="96">
        <f>IF(選手!M12&lt;&gt;"",選手!M12,"")</f>
        <v>51</v>
      </c>
      <c r="I52" s="96">
        <f>IF(選手!M11&lt;&gt;"",選手!M11,"")</f>
        <v>50</v>
      </c>
      <c r="J52" s="99">
        <f>IF(選手!M10&lt;&gt;"",選手!M10,"")</f>
        <v>49</v>
      </c>
      <c r="K52" s="98">
        <f>IF(選手!M9&lt;&gt;"",選手!M9,"")</f>
        <v>48</v>
      </c>
      <c r="L52" s="96">
        <f>IF(選手!M8&lt;&gt;"",選手!M8,"")</f>
        <v>47</v>
      </c>
      <c r="M52" s="96">
        <f>IF(選手!M7&lt;&gt;"",選手!M7,"")</f>
        <v>46</v>
      </c>
      <c r="N52" s="99">
        <f>IF(選手!M6&lt;&gt;"",選手!M6,"")</f>
        <v>45</v>
      </c>
      <c r="O52" s="100">
        <f>IF(選手!M5&lt;&gt;"",選手!M5,"")</f>
        <v>44</v>
      </c>
      <c r="P52" s="96">
        <f>IF(選手!M4&lt;&gt;"",選手!M4,"")</f>
        <v>43</v>
      </c>
      <c r="Q52" s="96">
        <f>IF(選手!M3&lt;&gt;"",選手!M3,"")</f>
        <v>42</v>
      </c>
      <c r="R52" s="96">
        <f>IF(選手!M2&lt;&gt;"",選手!M2,"")</f>
        <v>41</v>
      </c>
      <c r="S52" s="228" t="s">
        <v>18</v>
      </c>
      <c r="T52" s="228"/>
      <c r="X52" s="96" t="str">
        <f>IF(選手!R9&lt;&gt;"",選手!R9,"")</f>
        <v/>
      </c>
      <c r="Y52" s="96" t="str">
        <f>IF(選手!R8&lt;&gt;"",選手!R8,"")</f>
        <v/>
      </c>
      <c r="Z52" s="96" t="str">
        <f>IF(選手!R7&lt;&gt;"",選手!R7,"")</f>
        <v/>
      </c>
      <c r="AA52" s="97" t="str">
        <f>IF(選手!R6&lt;&gt;"",選手!R6,"")</f>
        <v/>
      </c>
      <c r="AB52" s="95" t="str">
        <f>IF(選手!R5&lt;&gt;"",選手!R5,"")</f>
        <v/>
      </c>
      <c r="AC52" s="96" t="str">
        <f>IF(選手!R4&lt;&gt;"",選手!R4,"")</f>
        <v/>
      </c>
      <c r="AD52" s="96" t="str">
        <f>IF(選手!R3&lt;&gt;"",選手!R3,"")</f>
        <v/>
      </c>
      <c r="AE52" s="96" t="str">
        <f>IF(選手!R2&lt;&gt;"",選手!R2,"")</f>
        <v/>
      </c>
    </row>
    <row r="53" spans="2:31" ht="34" customHeight="1" x14ac:dyDescent="0.55000000000000004">
      <c r="B53" s="168" t="s">
        <v>35</v>
      </c>
      <c r="C53" s="106" t="str">
        <f>IF(選手!O17&lt;&gt;"",選手!O17,"")</f>
        <v>女</v>
      </c>
      <c r="D53" s="102" t="str">
        <f>IF(選手!O16&lt;&gt;"",選手!O16,"")</f>
        <v>女</v>
      </c>
      <c r="E53" s="102" t="str">
        <f>IF(選手!O15&lt;&gt;"",選手!O15,"")</f>
        <v>女</v>
      </c>
      <c r="F53" s="103" t="str">
        <f>IF(選手!O14&lt;&gt;"",選手!O14,"")</f>
        <v>女</v>
      </c>
      <c r="G53" s="104" t="str">
        <f>IF(選手!O13&lt;&gt;"",選手!O13,"")</f>
        <v>男</v>
      </c>
      <c r="H53" s="102" t="str">
        <f>IF(選手!O12&lt;&gt;"",選手!O12,"")</f>
        <v>男</v>
      </c>
      <c r="I53" s="102" t="str">
        <f>IF(選手!O11&lt;&gt;"",選手!O11,"")</f>
        <v>男</v>
      </c>
      <c r="J53" s="103" t="str">
        <f>IF(選手!O10&lt;&gt;"",選手!O10,"")</f>
        <v>男</v>
      </c>
      <c r="K53" s="104" t="str">
        <f>IF(選手!O9&lt;&gt;"",選手!O9,"")</f>
        <v>女</v>
      </c>
      <c r="L53" s="102" t="str">
        <f>IF(選手!O8&lt;&gt;"",選手!O8,"")</f>
        <v>女</v>
      </c>
      <c r="M53" s="102" t="str">
        <f>IF(選手!O7&lt;&gt;"",選手!O7,"")</f>
        <v>女</v>
      </c>
      <c r="N53" s="105" t="str">
        <f>IF(選手!O6&lt;&gt;"",選手!O6,"")</f>
        <v>女</v>
      </c>
      <c r="O53" s="106" t="str">
        <f>IF(選手!O5&lt;&gt;"",選手!O5,"")</f>
        <v>男</v>
      </c>
      <c r="P53" s="102" t="str">
        <f>IF(選手!O4&lt;&gt;"",選手!O4,"")</f>
        <v>男</v>
      </c>
      <c r="Q53" s="102" t="str">
        <f>IF(選手!O3&lt;&gt;"",選手!O3,"")</f>
        <v>男</v>
      </c>
      <c r="R53" s="102" t="str">
        <f>IF(選手!O2&lt;&gt;"",選手!O2,"")</f>
        <v>男</v>
      </c>
      <c r="S53" s="226" t="s">
        <v>1</v>
      </c>
      <c r="T53" s="226"/>
      <c r="X53" s="102" t="str">
        <f>IF(選手!T9&lt;&gt;"",選手!T9,"")</f>
        <v/>
      </c>
      <c r="Y53" s="102" t="str">
        <f>IF(選手!T8&lt;&gt;"",選手!T8,"")</f>
        <v/>
      </c>
      <c r="Z53" s="102" t="str">
        <f>IF(選手!T7&lt;&gt;"",選手!T7,"")</f>
        <v/>
      </c>
      <c r="AA53" s="103" t="str">
        <f>IF(選手!T6&lt;&gt;"",選手!T6,"")</f>
        <v/>
      </c>
      <c r="AB53" s="101" t="str">
        <f>IF(選手!T5&lt;&gt;"",選手!T5,"")</f>
        <v/>
      </c>
      <c r="AC53" s="102" t="str">
        <f>IF(選手!T4&lt;&gt;"",選手!T4,"")</f>
        <v/>
      </c>
      <c r="AD53" s="102" t="str">
        <f>IF(選手!T3&lt;&gt;"",選手!T3,"")</f>
        <v/>
      </c>
      <c r="AE53" s="102" t="str">
        <f>IF(選手!T2&lt;&gt;"",選手!T2,"")</f>
        <v/>
      </c>
    </row>
    <row r="54" spans="2:31" ht="180" customHeight="1" x14ac:dyDescent="0.55000000000000004">
      <c r="B54" s="107" t="s">
        <v>128</v>
      </c>
      <c r="C54" s="113" t="str">
        <f>IF(選手!N17&lt;&gt;"",選手!N17,"")</f>
        <v>堀井 恵美子</v>
      </c>
      <c r="D54" s="109" t="str">
        <f>IF(選手!N16&lt;&gt;"",選手!N16,"")</f>
        <v>樋田 良子</v>
      </c>
      <c r="E54" s="109" t="str">
        <f>IF(選手!N15&lt;&gt;"",選手!N15,"")</f>
        <v>青松 未記</v>
      </c>
      <c r="F54" s="110" t="str">
        <f>IF(選手!N14&lt;&gt;"",選手!N14,"")</f>
        <v>安藤 雅子</v>
      </c>
      <c r="G54" s="111" t="str">
        <f>IF(選手!N13&lt;&gt;"",選手!N13,"")</f>
        <v>園田 敏雄</v>
      </c>
      <c r="H54" s="109" t="str">
        <f>IF(選手!N12&lt;&gt;"",選手!N12,"")</f>
        <v>近藤 治</v>
      </c>
      <c r="I54" s="109" t="str">
        <f>IF(選手!N11&lt;&gt;"",選手!N11,"")</f>
        <v>堀 隆教</v>
      </c>
      <c r="J54" s="112" t="str">
        <f>IF(選手!N10&lt;&gt;"",選手!N10,"")</f>
        <v>榊原 隆一</v>
      </c>
      <c r="K54" s="111" t="str">
        <f>IF(選手!N9&lt;&gt;"",選手!N9,"")</f>
        <v>野々垣 奈緒子</v>
      </c>
      <c r="L54" s="109" t="str">
        <f>IF(選手!N8&lt;&gt;"",選手!N8,"")</f>
        <v>水野 三穂</v>
      </c>
      <c r="M54" s="109" t="str">
        <f>IF(選手!N7&lt;&gt;"",選手!N7,"")</f>
        <v>澤田 圭子</v>
      </c>
      <c r="N54" s="112" t="str">
        <f>IF(選手!N6&lt;&gt;"",選手!N6,"")</f>
        <v>山越 一江</v>
      </c>
      <c r="O54" s="113" t="str">
        <f>IF(選手!N5&lt;&gt;"",選手!N5,"")</f>
        <v>松井 忠志</v>
      </c>
      <c r="P54" s="109" t="str">
        <f>IF(選手!N4&lt;&gt;"",選手!N4,"")</f>
        <v>芝田 典久</v>
      </c>
      <c r="Q54" s="109" t="str">
        <f>IF(選手!N3&lt;&gt;"",選手!N3,"")</f>
        <v>葛西 裕文</v>
      </c>
      <c r="R54" s="109" t="str">
        <f>IF(選手!N2&lt;&gt;"",選手!N2,"")</f>
        <v>柳原 啓宏</v>
      </c>
      <c r="S54" s="227" t="s">
        <v>128</v>
      </c>
      <c r="T54" s="227"/>
      <c r="X54" s="109" t="str">
        <f>IF(選手!S9&lt;&gt;"",選手!S9,"")</f>
        <v/>
      </c>
      <c r="Y54" s="109" t="str">
        <f>IF(選手!S8&lt;&gt;"",選手!S8,"")</f>
        <v/>
      </c>
      <c r="Z54" s="109" t="str">
        <f>IF(選手!S7&lt;&gt;"",選手!S7,"")</f>
        <v/>
      </c>
      <c r="AA54" s="110" t="str">
        <f>IF(選手!S6&lt;&gt;"",選手!S6,"")</f>
        <v/>
      </c>
      <c r="AB54" s="108" t="str">
        <f>IF(選手!S5&lt;&gt;"",選手!S5,"")</f>
        <v/>
      </c>
      <c r="AC54" s="109" t="str">
        <f>IF(選手!S4&lt;&gt;"",選手!S4,"")</f>
        <v/>
      </c>
      <c r="AD54" s="109" t="str">
        <f>IF(選手!S3&lt;&gt;"",選手!S3,"")</f>
        <v/>
      </c>
      <c r="AE54" s="109" t="str">
        <f>IF(選手!S2&lt;&gt;"",選手!S2,"")</f>
        <v/>
      </c>
    </row>
  </sheetData>
  <mergeCells count="49">
    <mergeCell ref="S50:T50"/>
    <mergeCell ref="S51:T51"/>
    <mergeCell ref="S52:T52"/>
    <mergeCell ref="S53:T53"/>
    <mergeCell ref="S54:T54"/>
    <mergeCell ref="S45:T45"/>
    <mergeCell ref="S46:T46"/>
    <mergeCell ref="S47:T47"/>
    <mergeCell ref="S48:T48"/>
    <mergeCell ref="S49:T49"/>
    <mergeCell ref="S40:T40"/>
    <mergeCell ref="S41:T41"/>
    <mergeCell ref="S42:T42"/>
    <mergeCell ref="S43:T43"/>
    <mergeCell ref="S44:T44"/>
    <mergeCell ref="O39:R39"/>
    <mergeCell ref="G3:J3"/>
    <mergeCell ref="K3:N3"/>
    <mergeCell ref="X39:AA39"/>
    <mergeCell ref="AB39:AE39"/>
    <mergeCell ref="O38:R38"/>
    <mergeCell ref="X38:AA38"/>
    <mergeCell ref="AB38:AE38"/>
    <mergeCell ref="G20:J20"/>
    <mergeCell ref="O3:R3"/>
    <mergeCell ref="S3:V3"/>
    <mergeCell ref="S38:T38"/>
    <mergeCell ref="S39:T39"/>
    <mergeCell ref="C39:F39"/>
    <mergeCell ref="G39:J39"/>
    <mergeCell ref="K39:N39"/>
    <mergeCell ref="C38:F38"/>
    <mergeCell ref="G38:J38"/>
    <mergeCell ref="K38:N38"/>
    <mergeCell ref="C2:F2"/>
    <mergeCell ref="G2:J2"/>
    <mergeCell ref="K2:N2"/>
    <mergeCell ref="O2:R2"/>
    <mergeCell ref="S2:V2"/>
    <mergeCell ref="C21:F21"/>
    <mergeCell ref="G21:J21"/>
    <mergeCell ref="K21:N21"/>
    <mergeCell ref="O21:R21"/>
    <mergeCell ref="S21:V21"/>
    <mergeCell ref="C3:F3"/>
    <mergeCell ref="C20:F20"/>
    <mergeCell ref="K20:N20"/>
    <mergeCell ref="O20:R20"/>
    <mergeCell ref="S20:V20"/>
  </mergeCells>
  <phoneticPr fontId="1"/>
  <conditionalFormatting sqref="C35:V35 C17:V17 C53:R53 X53:AE53">
    <cfRule type="cellIs" dxfId="1" priority="1" operator="equal">
      <formula>"男"</formula>
    </cfRule>
    <cfRule type="cellIs" dxfId="0" priority="2" operator="equal">
      <formula>"女"</formula>
    </cfRule>
  </conditionalFormatting>
  <dataValidations count="1">
    <dataValidation type="list" allowBlank="1" showInputMessage="1" showErrorMessage="1" sqref="C30:V33 C25:V28 C12:V15 C43:R46 C48:R51 X43:AE46 X48:AE51 C7:V10" xr:uid="{12E7C724-A26C-4691-84C6-B036D6355C8B}">
      <formula1>"〇,×"</formula1>
    </dataValidation>
  </dataValidations>
  <pageMargins left="0.7" right="0.7" top="0.75" bottom="0.75" header="0.3" footer="0.3"/>
  <pageSetup paperSize="9" scale="6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15F19-7682-449F-87E4-A8164DA6ECC2}">
  <dimension ref="B2:AC19"/>
  <sheetViews>
    <sheetView workbookViewId="0">
      <selection activeCell="D1" sqref="D1"/>
    </sheetView>
  </sheetViews>
  <sheetFormatPr defaultRowHeight="28.5" x14ac:dyDescent="0.55000000000000004"/>
  <cols>
    <col min="1" max="1" width="3.58203125" style="146" customWidth="1"/>
    <col min="2" max="2" width="6" style="146" hidden="1" customWidth="1"/>
    <col min="3" max="3" width="8.5" style="146" bestFit="1" customWidth="1"/>
    <col min="4" max="4" width="16.08203125" style="146" bestFit="1" customWidth="1"/>
    <col min="5" max="5" width="11.9140625" style="146" bestFit="1" customWidth="1"/>
    <col min="6" max="6" width="8.5" style="146" bestFit="1" customWidth="1"/>
    <col min="7" max="8" width="7.4140625" style="146" hidden="1" customWidth="1"/>
    <col min="9" max="9" width="5.58203125" style="146" customWidth="1"/>
    <col min="10" max="10" width="8.5" style="146" bestFit="1" customWidth="1"/>
    <col min="11" max="11" width="16.08203125" style="146" bestFit="1" customWidth="1"/>
    <col min="12" max="12" width="11.9140625" style="146" bestFit="1" customWidth="1"/>
    <col min="13" max="13" width="16.83203125" style="146" hidden="1" customWidth="1"/>
    <col min="14" max="14" width="5.58203125" style="146" customWidth="1"/>
    <col min="15" max="15" width="8.5" style="146" bestFit="1" customWidth="1"/>
    <col min="16" max="16" width="13.9140625" style="146" bestFit="1" customWidth="1"/>
    <col min="17" max="17" width="11.9140625" style="146" bestFit="1" customWidth="1"/>
    <col min="18" max="18" width="16.83203125" style="146" hidden="1" customWidth="1"/>
    <col min="19" max="19" width="5.58203125" style="146" customWidth="1"/>
    <col min="20" max="20" width="17.9140625" style="146" bestFit="1" customWidth="1"/>
    <col min="21" max="21" width="15.5" style="146" bestFit="1" customWidth="1"/>
    <col min="22" max="23" width="15.5" style="146" hidden="1" customWidth="1"/>
    <col min="24" max="24" width="11.9140625" style="146" bestFit="1" customWidth="1"/>
    <col min="25" max="28" width="8.5" style="146" bestFit="1" customWidth="1"/>
    <col min="29" max="29" width="16.83203125" style="146" hidden="1" customWidth="1"/>
    <col min="30" max="16384" width="8.6640625" style="146"/>
  </cols>
  <sheetData>
    <row r="2" spans="2:29" x14ac:dyDescent="0.55000000000000004">
      <c r="C2" s="190" t="s">
        <v>115</v>
      </c>
      <c r="D2" s="191"/>
      <c r="E2" s="192"/>
      <c r="J2" s="184" t="s">
        <v>116</v>
      </c>
      <c r="K2" s="185"/>
      <c r="L2" s="186"/>
      <c r="M2" s="147"/>
      <c r="O2" s="187" t="s">
        <v>118</v>
      </c>
      <c r="P2" s="188"/>
      <c r="Q2" s="189"/>
      <c r="R2" s="148"/>
      <c r="T2" s="193" t="s">
        <v>14</v>
      </c>
      <c r="U2" s="193"/>
      <c r="V2" s="193"/>
      <c r="W2" s="193"/>
      <c r="X2" s="193"/>
      <c r="Y2" s="193"/>
      <c r="Z2" s="193"/>
      <c r="AA2" s="193"/>
      <c r="AB2" s="193"/>
      <c r="AC2" s="194"/>
    </row>
    <row r="3" spans="2:29" x14ac:dyDescent="0.55000000000000004">
      <c r="C3" s="149" t="s">
        <v>11</v>
      </c>
      <c r="D3" s="150" t="s">
        <v>13</v>
      </c>
      <c r="E3" s="151" t="s">
        <v>12</v>
      </c>
      <c r="F3" s="152" t="s">
        <v>125</v>
      </c>
      <c r="G3" s="152" t="s">
        <v>120</v>
      </c>
      <c r="H3" s="152" t="s">
        <v>121</v>
      </c>
      <c r="J3" s="153" t="s">
        <v>11</v>
      </c>
      <c r="K3" s="154" t="s">
        <v>5</v>
      </c>
      <c r="L3" s="155" t="s">
        <v>6</v>
      </c>
      <c r="M3" s="147" t="s">
        <v>119</v>
      </c>
      <c r="O3" s="156" t="s">
        <v>11</v>
      </c>
      <c r="P3" s="157" t="s">
        <v>5</v>
      </c>
      <c r="Q3" s="158" t="s">
        <v>6</v>
      </c>
      <c r="R3" s="148" t="s">
        <v>119</v>
      </c>
      <c r="T3" s="159" t="s">
        <v>5</v>
      </c>
      <c r="U3" s="159" t="s">
        <v>117</v>
      </c>
      <c r="V3" s="159" t="s">
        <v>16</v>
      </c>
      <c r="W3" s="159" t="s">
        <v>17</v>
      </c>
      <c r="X3" s="159" t="s">
        <v>6</v>
      </c>
      <c r="Y3" s="159" t="s">
        <v>7</v>
      </c>
      <c r="Z3" s="159" t="s">
        <v>8</v>
      </c>
      <c r="AA3" s="159" t="s">
        <v>9</v>
      </c>
      <c r="AB3" s="159" t="s">
        <v>10</v>
      </c>
      <c r="AC3" s="160" t="s">
        <v>15</v>
      </c>
    </row>
    <row r="4" spans="2:29" x14ac:dyDescent="0.95">
      <c r="B4" s="146">
        <f>SMALL(V4:V19, 1)</f>
        <v>1</v>
      </c>
      <c r="C4" s="161">
        <f>SMALL(W4:W19, 1)</f>
        <v>1</v>
      </c>
      <c r="D4" s="162" t="str">
        <f>INDEX(T:T,MATCH(B4,V:V,0))</f>
        <v>瀬戸A</v>
      </c>
      <c r="E4" s="161">
        <f t="shared" ref="E4:E19" si="0">IF(D4="","",INDEX(X:X,MATCH(D4,T:T,0)))</f>
        <v>0</v>
      </c>
      <c r="F4" s="161" t="str">
        <f t="shared" ref="F4:F19" si="1">IF(D4="","",INDEX(U:U,MATCH(D4,T:T,0)))</f>
        <v>男</v>
      </c>
      <c r="G4" s="161">
        <f>IF($F4="男",ROW(),"")</f>
        <v>4</v>
      </c>
      <c r="H4" s="161" t="str">
        <f>IF($F4="女",ROW(),"")</f>
        <v/>
      </c>
      <c r="J4" s="161">
        <f>IF(K4="","",_xlfn.RANK.EQ(M4,M4:M19))</f>
        <v>1</v>
      </c>
      <c r="K4" s="163" t="str">
        <f>IF(COUNT(G:G)&lt;ROW(A1),"",INDEX(D:D,SMALL(G:G,ROW(A1))))</f>
        <v>瀬戸A</v>
      </c>
      <c r="L4" s="161">
        <f>IF(K4="","",INDEX(E:E,MATCH(K4,D:D,0)))</f>
        <v>0</v>
      </c>
      <c r="M4" s="161">
        <f>IF(K4="","",INDEX(AC:AC,MATCH(K4,T:T,0)))</f>
        <v>0</v>
      </c>
      <c r="O4" s="161">
        <f>IF(P4="","",_xlfn.RANK.EQ(R4,R4:R19))</f>
        <v>1</v>
      </c>
      <c r="P4" s="163" t="str">
        <f t="shared" ref="P4:P19" si="2">IF(COUNT(H:H)&lt;ROW(A1),"",INDEX(D:D,SMALL(H:H,ROW(A1))))</f>
        <v>尾張旭B</v>
      </c>
      <c r="Q4" s="161">
        <f t="shared" ref="Q4:Q19" si="3">IF(P4="","",INDEX(E:E,MATCH(P4,D:D,0)))</f>
        <v>0</v>
      </c>
      <c r="R4" s="161">
        <f t="shared" ref="R4:R19" si="4">IF(P4="","",INDEX(AC:AC,MATCH(P4,T:T,0)))</f>
        <v>0</v>
      </c>
      <c r="T4" s="164" t="str">
        <f>IF(選手!B2="","",選手!B2)</f>
        <v>瀬戸A</v>
      </c>
      <c r="U4" s="164" t="str">
        <f>IF(COUNTIF(選手!E2:E5,"男")&gt;0,"男","女")</f>
        <v>男</v>
      </c>
      <c r="V4" s="161">
        <f>W4</f>
        <v>1</v>
      </c>
      <c r="W4" s="161">
        <f>_xlfn.RANK.EQ(AC4,AC4:AC19)</f>
        <v>1</v>
      </c>
      <c r="X4" s="161">
        <f>SUM(Y4:AB4)</f>
        <v>0</v>
      </c>
      <c r="Y4" s="161">
        <f>記録!V5</f>
        <v>0</v>
      </c>
      <c r="Z4" s="161">
        <f>記録!U5</f>
        <v>0</v>
      </c>
      <c r="AA4" s="161">
        <f>記録!T5</f>
        <v>0</v>
      </c>
      <c r="AB4" s="161">
        <f>記録!S5</f>
        <v>0</v>
      </c>
      <c r="AC4" s="161">
        <f t="shared" ref="AC4:AC19" si="5">X4+Y4*0.1+Z4*0.01+AA4*0.001+AB4*0.0001</f>
        <v>0</v>
      </c>
    </row>
    <row r="5" spans="2:29" x14ac:dyDescent="0.95">
      <c r="B5" s="146">
        <f>SMALL(V4:V19, 2)</f>
        <v>2</v>
      </c>
      <c r="C5" s="161">
        <f>SMALL(W4:W19, 2)</f>
        <v>1</v>
      </c>
      <c r="D5" s="162" t="str">
        <f>INDEX(T:T,MATCH(B5,V:V,0))</f>
        <v>瀬戸B</v>
      </c>
      <c r="E5" s="161">
        <f t="shared" si="0"/>
        <v>0</v>
      </c>
      <c r="F5" s="161" t="str">
        <f t="shared" si="1"/>
        <v>男</v>
      </c>
      <c r="G5" s="161">
        <f t="shared" ref="G5:G19" si="6">IF($F5="男",ROW(),"")</f>
        <v>5</v>
      </c>
      <c r="H5" s="161" t="str">
        <f t="shared" ref="H5:H19" si="7">IF($F5="女",ROW(),"")</f>
        <v/>
      </c>
      <c r="J5" s="161">
        <f>IF(K5="","",_xlfn.RANK.EQ(M5,M4:M19))</f>
        <v>1</v>
      </c>
      <c r="K5" s="163" t="str">
        <f t="shared" ref="K5:K19" si="8">IF(COUNT(G:G)&lt;ROW(A2),"",INDEX(D:D,SMALL(G:G,ROW(A2))))</f>
        <v>瀬戸B</v>
      </c>
      <c r="L5" s="161">
        <f t="shared" ref="L5:L18" si="9">IF(K5="","",INDEX(E:E,MATCH(K5,D:D,0)))</f>
        <v>0</v>
      </c>
      <c r="M5" s="161">
        <f t="shared" ref="M5:M19" si="10">IF(K5="","",INDEX(AC:AC,MATCH(K5,T:T,0)))</f>
        <v>0</v>
      </c>
      <c r="O5" s="161">
        <f>IF(P5="","",_xlfn.RANK.EQ(R5,R4:R19))</f>
        <v>1</v>
      </c>
      <c r="P5" s="163" t="str">
        <f t="shared" si="2"/>
        <v>日進B</v>
      </c>
      <c r="Q5" s="161">
        <f t="shared" si="3"/>
        <v>0</v>
      </c>
      <c r="R5" s="161">
        <f t="shared" si="4"/>
        <v>0</v>
      </c>
      <c r="T5" s="164" t="str">
        <f>IF(選手!B6="","",選手!B6)</f>
        <v>瀬戸B</v>
      </c>
      <c r="U5" s="164" t="str">
        <f>IF(COUNTIF(選手!E6:E9,"男")&gt;0,"男","女")</f>
        <v>男</v>
      </c>
      <c r="V5" s="161">
        <f>W5+COUNTIF(W4:W5,W5)-1</f>
        <v>2</v>
      </c>
      <c r="W5" s="161">
        <f>_xlfn.RANK.EQ(AC5,AC4:AC19)</f>
        <v>1</v>
      </c>
      <c r="X5" s="161">
        <f t="shared" ref="X5:X19" si="11">SUM(Y5:AB5)</f>
        <v>0</v>
      </c>
      <c r="Y5" s="161">
        <f>記録!R5</f>
        <v>0</v>
      </c>
      <c r="Z5" s="161">
        <f>記録!Q5</f>
        <v>0</v>
      </c>
      <c r="AA5" s="161">
        <f>記録!P5</f>
        <v>0</v>
      </c>
      <c r="AB5" s="161">
        <f>記録!O5</f>
        <v>0</v>
      </c>
      <c r="AC5" s="161">
        <f t="shared" si="5"/>
        <v>0</v>
      </c>
    </row>
    <row r="6" spans="2:29" x14ac:dyDescent="0.95">
      <c r="B6" s="146">
        <f>SMALL(V4:V19, 3)</f>
        <v>3</v>
      </c>
      <c r="C6" s="161">
        <f>SMALL(W4:W19, 3)</f>
        <v>1</v>
      </c>
      <c r="D6" s="162" t="str">
        <f t="shared" ref="D6:D19" si="12">INDEX(T:T,MATCH(B6,V:V,0))</f>
        <v>西春日井A</v>
      </c>
      <c r="E6" s="161">
        <f t="shared" si="0"/>
        <v>0</v>
      </c>
      <c r="F6" s="161" t="str">
        <f t="shared" si="1"/>
        <v>男</v>
      </c>
      <c r="G6" s="161">
        <f t="shared" si="6"/>
        <v>6</v>
      </c>
      <c r="H6" s="161" t="str">
        <f t="shared" si="7"/>
        <v/>
      </c>
      <c r="J6" s="161">
        <f>IF(K6="","",_xlfn.RANK.EQ(M6,M4:M19))</f>
        <v>1</v>
      </c>
      <c r="K6" s="163" t="str">
        <f t="shared" si="8"/>
        <v>西春日井A</v>
      </c>
      <c r="L6" s="161">
        <f t="shared" si="9"/>
        <v>0</v>
      </c>
      <c r="M6" s="161">
        <f t="shared" si="10"/>
        <v>0</v>
      </c>
      <c r="O6" s="161">
        <f>IF(P6="","",_xlfn.RANK.EQ(R6,R4:R19))</f>
        <v>1</v>
      </c>
      <c r="P6" s="163" t="str">
        <f t="shared" si="2"/>
        <v>春日井B</v>
      </c>
      <c r="Q6" s="161">
        <f t="shared" si="3"/>
        <v>0</v>
      </c>
      <c r="R6" s="161">
        <f t="shared" si="4"/>
        <v>0</v>
      </c>
      <c r="T6" s="164" t="str">
        <f>IF(選手!B10="","",選手!B10)</f>
        <v>西春日井A</v>
      </c>
      <c r="U6" s="164" t="str">
        <f>IF(COUNTIF(選手!E10:E13,"男")&gt;0,"男","女")</f>
        <v>男</v>
      </c>
      <c r="V6" s="161">
        <f>W6+COUNTIF(W4:W6,W6)-1</f>
        <v>3</v>
      </c>
      <c r="W6" s="161">
        <f>_xlfn.RANK.EQ(AC6,AC4:AC19)</f>
        <v>1</v>
      </c>
      <c r="X6" s="161">
        <f t="shared" si="11"/>
        <v>0</v>
      </c>
      <c r="Y6" s="161">
        <f>記録!N5</f>
        <v>0</v>
      </c>
      <c r="Z6" s="161">
        <f>記録!M5</f>
        <v>0</v>
      </c>
      <c r="AA6" s="161">
        <f>記録!L5</f>
        <v>0</v>
      </c>
      <c r="AB6" s="161">
        <f>記録!K5</f>
        <v>0</v>
      </c>
      <c r="AC6" s="161">
        <f t="shared" si="5"/>
        <v>0</v>
      </c>
    </row>
    <row r="7" spans="2:29" x14ac:dyDescent="0.95">
      <c r="B7" s="146">
        <f>SMALL(V4:V19, 4)</f>
        <v>4</v>
      </c>
      <c r="C7" s="161">
        <f>SMALL(W4:W19, 4)</f>
        <v>1</v>
      </c>
      <c r="D7" s="162" t="str">
        <f t="shared" si="12"/>
        <v>西春日井B</v>
      </c>
      <c r="E7" s="161">
        <f t="shared" si="0"/>
        <v>0</v>
      </c>
      <c r="F7" s="161" t="str">
        <f t="shared" si="1"/>
        <v>男</v>
      </c>
      <c r="G7" s="161">
        <f t="shared" si="6"/>
        <v>7</v>
      </c>
      <c r="H7" s="161" t="str">
        <f t="shared" si="7"/>
        <v/>
      </c>
      <c r="J7" s="161">
        <f>IF(K7="","",_xlfn.RANK.EQ(M7,M4:M19))</f>
        <v>1</v>
      </c>
      <c r="K7" s="163" t="str">
        <f t="shared" si="8"/>
        <v>西春日井B</v>
      </c>
      <c r="L7" s="161">
        <f t="shared" si="9"/>
        <v>0</v>
      </c>
      <c r="M7" s="161">
        <f t="shared" si="10"/>
        <v>0</v>
      </c>
      <c r="O7" s="161">
        <f>IF(P7="","",_xlfn.RANK.EQ(R7,R4:R19))</f>
        <v>1</v>
      </c>
      <c r="P7" s="163" t="str">
        <f t="shared" si="2"/>
        <v>長久手B</v>
      </c>
      <c r="Q7" s="161">
        <f t="shared" si="3"/>
        <v>0</v>
      </c>
      <c r="R7" s="161">
        <f t="shared" si="4"/>
        <v>0</v>
      </c>
      <c r="T7" s="164" t="str">
        <f>IF(選手!B14="","",選手!B14)</f>
        <v>西春日井B</v>
      </c>
      <c r="U7" s="164" t="str">
        <f>IF(COUNTIF(選手!E14:E17,"男")&gt;0,"男","女")</f>
        <v>男</v>
      </c>
      <c r="V7" s="161">
        <f>W7+COUNTIF(W4:W7,W7)-1</f>
        <v>4</v>
      </c>
      <c r="W7" s="161">
        <f>_xlfn.RANK.EQ(AC7,AC4:AC19)</f>
        <v>1</v>
      </c>
      <c r="X7" s="161">
        <f t="shared" si="11"/>
        <v>0</v>
      </c>
      <c r="Y7" s="161">
        <f>記録!J5</f>
        <v>0</v>
      </c>
      <c r="Z7" s="161">
        <f>記録!I5</f>
        <v>0</v>
      </c>
      <c r="AA7" s="161">
        <f>記録!H5</f>
        <v>0</v>
      </c>
      <c r="AB7" s="161">
        <f>記録!G5</f>
        <v>0</v>
      </c>
      <c r="AC7" s="161">
        <f t="shared" si="5"/>
        <v>0</v>
      </c>
    </row>
    <row r="8" spans="2:29" x14ac:dyDescent="0.95">
      <c r="B8" s="146">
        <f>SMALL(V4:V19, 5)</f>
        <v>5</v>
      </c>
      <c r="C8" s="161">
        <f>SMALL(W4:W19, 5)</f>
        <v>1</v>
      </c>
      <c r="D8" s="162" t="str">
        <f t="shared" si="12"/>
        <v>春日井A</v>
      </c>
      <c r="E8" s="161">
        <f t="shared" si="0"/>
        <v>0</v>
      </c>
      <c r="F8" s="161" t="str">
        <f t="shared" si="1"/>
        <v>男</v>
      </c>
      <c r="G8" s="161">
        <f t="shared" si="6"/>
        <v>8</v>
      </c>
      <c r="H8" s="161" t="str">
        <f t="shared" si="7"/>
        <v/>
      </c>
      <c r="J8" s="161">
        <f>IF(K8="","",_xlfn.RANK.EQ(M8,M4:M19))</f>
        <v>1</v>
      </c>
      <c r="K8" s="163" t="str">
        <f t="shared" si="8"/>
        <v>春日井A</v>
      </c>
      <c r="L8" s="161">
        <f t="shared" si="9"/>
        <v>0</v>
      </c>
      <c r="M8" s="161">
        <f t="shared" si="10"/>
        <v>0</v>
      </c>
      <c r="O8" s="161">
        <f>IF(P8="","",_xlfn.RANK.EQ(R8,R4:R19))</f>
        <v>1</v>
      </c>
      <c r="P8" s="163" t="str">
        <f t="shared" si="2"/>
        <v>豊明B</v>
      </c>
      <c r="Q8" s="161">
        <f t="shared" si="3"/>
        <v>0</v>
      </c>
      <c r="R8" s="161">
        <f t="shared" si="4"/>
        <v>0</v>
      </c>
      <c r="T8" s="164" t="str">
        <f>IF(選手!B1="","",選手!B18)</f>
        <v>春日井A</v>
      </c>
      <c r="U8" s="164" t="str">
        <f>IF(COUNTIF(選手!E18:E21,"男")&gt;0,"男","女")</f>
        <v>男</v>
      </c>
      <c r="V8" s="161">
        <f>W8+COUNTIF(W4:W8,W8)-1</f>
        <v>5</v>
      </c>
      <c r="W8" s="161">
        <f>_xlfn.RANK.EQ(AC8,AC4:AC19)</f>
        <v>1</v>
      </c>
      <c r="X8" s="161">
        <f t="shared" si="11"/>
        <v>0</v>
      </c>
      <c r="Y8" s="161">
        <f>記録!F5</f>
        <v>0</v>
      </c>
      <c r="Z8" s="161">
        <f>記録!E5</f>
        <v>0</v>
      </c>
      <c r="AA8" s="161">
        <f>記録!D5</f>
        <v>0</v>
      </c>
      <c r="AB8" s="161">
        <f>記録!C5</f>
        <v>0</v>
      </c>
      <c r="AC8" s="161">
        <f t="shared" si="5"/>
        <v>0</v>
      </c>
    </row>
    <row r="9" spans="2:29" x14ac:dyDescent="0.95">
      <c r="B9" s="146">
        <f>SMALL(V4:V19, 6)</f>
        <v>6</v>
      </c>
      <c r="C9" s="161">
        <f>SMALL(W4:W19, 6)</f>
        <v>1</v>
      </c>
      <c r="D9" s="162" t="str">
        <f t="shared" si="12"/>
        <v>尾張旭A</v>
      </c>
      <c r="E9" s="161">
        <f t="shared" si="0"/>
        <v>0</v>
      </c>
      <c r="F9" s="161" t="str">
        <f t="shared" si="1"/>
        <v>男</v>
      </c>
      <c r="G9" s="161">
        <f t="shared" si="6"/>
        <v>9</v>
      </c>
      <c r="H9" s="161" t="str">
        <f t="shared" si="7"/>
        <v/>
      </c>
      <c r="J9" s="161">
        <f>IF(K9="","",_xlfn.RANK.EQ(M9,M4:M19))</f>
        <v>1</v>
      </c>
      <c r="K9" s="163" t="str">
        <f t="shared" si="8"/>
        <v>尾張旭A</v>
      </c>
      <c r="L9" s="161">
        <f t="shared" si="9"/>
        <v>0</v>
      </c>
      <c r="M9" s="161">
        <f t="shared" si="10"/>
        <v>0</v>
      </c>
      <c r="O9" s="161" t="str">
        <f>IF(P9="","",_xlfn.RANK.EQ(R9,R4:R19))</f>
        <v/>
      </c>
      <c r="P9" s="163" t="str">
        <f t="shared" si="2"/>
        <v/>
      </c>
      <c r="Q9" s="161" t="str">
        <f t="shared" si="3"/>
        <v/>
      </c>
      <c r="R9" s="161" t="str">
        <f t="shared" si="4"/>
        <v/>
      </c>
      <c r="T9" s="164" t="str">
        <f>IF(選手!G2="","",選手!G2)</f>
        <v>尾張旭A</v>
      </c>
      <c r="U9" s="164" t="str">
        <f>IF(COUNTIF(選手!J2:J5,"男")&gt;0,"男","女")</f>
        <v>男</v>
      </c>
      <c r="V9" s="161">
        <f>W9+COUNTIF(W4:W9,W9)-1</f>
        <v>6</v>
      </c>
      <c r="W9" s="161">
        <f>_xlfn.RANK.EQ(AC9,AC4:AC19)</f>
        <v>1</v>
      </c>
      <c r="X9" s="161">
        <f t="shared" si="11"/>
        <v>0</v>
      </c>
      <c r="Y9" s="161">
        <f>記録!V23</f>
        <v>0</v>
      </c>
      <c r="Z9" s="161">
        <f>記録!U23</f>
        <v>0</v>
      </c>
      <c r="AA9" s="161">
        <f>記録!T23</f>
        <v>0</v>
      </c>
      <c r="AB9" s="161">
        <f>記録!S23</f>
        <v>0</v>
      </c>
      <c r="AC9" s="161">
        <f t="shared" si="5"/>
        <v>0</v>
      </c>
    </row>
    <row r="10" spans="2:29" x14ac:dyDescent="0.95">
      <c r="B10" s="146">
        <f>SMALL(V4:V19, 7)</f>
        <v>7</v>
      </c>
      <c r="C10" s="161">
        <f>SMALL(W4:W19, 7)</f>
        <v>1</v>
      </c>
      <c r="D10" s="162" t="str">
        <f t="shared" si="12"/>
        <v>尾張旭B</v>
      </c>
      <c r="E10" s="161">
        <f t="shared" si="0"/>
        <v>0</v>
      </c>
      <c r="F10" s="161" t="str">
        <f t="shared" si="1"/>
        <v>女</v>
      </c>
      <c r="G10" s="161" t="str">
        <f t="shared" si="6"/>
        <v/>
      </c>
      <c r="H10" s="161">
        <f t="shared" si="7"/>
        <v>10</v>
      </c>
      <c r="J10" s="161">
        <f>IF(K10="","",_xlfn.RANK.EQ(M10,M4:M19))</f>
        <v>1</v>
      </c>
      <c r="K10" s="163" t="str">
        <f t="shared" si="8"/>
        <v>日進A</v>
      </c>
      <c r="L10" s="161">
        <f t="shared" si="9"/>
        <v>0</v>
      </c>
      <c r="M10" s="161">
        <f t="shared" si="10"/>
        <v>0</v>
      </c>
      <c r="O10" s="161" t="str">
        <f>IF(P10="","",_xlfn.RANK.EQ(R10,R4:R19))</f>
        <v/>
      </c>
      <c r="P10" s="163" t="str">
        <f t="shared" si="2"/>
        <v/>
      </c>
      <c r="Q10" s="161" t="str">
        <f t="shared" si="3"/>
        <v/>
      </c>
      <c r="R10" s="161" t="str">
        <f t="shared" si="4"/>
        <v/>
      </c>
      <c r="T10" s="164" t="str">
        <f>IF(選手!G6="","",選手!G6)</f>
        <v>尾張旭B</v>
      </c>
      <c r="U10" s="164" t="str">
        <f>IF(COUNTIF(選手!J6:J9,"男")&gt;0,"男","女")</f>
        <v>女</v>
      </c>
      <c r="V10" s="161">
        <f>W10+COUNTIF(W4:W10,W10)-1</f>
        <v>7</v>
      </c>
      <c r="W10" s="161">
        <f>_xlfn.RANK.EQ(AC10,AC4:AC19)</f>
        <v>1</v>
      </c>
      <c r="X10" s="161">
        <f t="shared" si="11"/>
        <v>0</v>
      </c>
      <c r="Y10" s="161">
        <f>記録!R23</f>
        <v>0</v>
      </c>
      <c r="Z10" s="161">
        <f>記録!Q23</f>
        <v>0</v>
      </c>
      <c r="AA10" s="161">
        <f>記録!P23</f>
        <v>0</v>
      </c>
      <c r="AB10" s="161">
        <f>記録!O23</f>
        <v>0</v>
      </c>
      <c r="AC10" s="161">
        <f t="shared" si="5"/>
        <v>0</v>
      </c>
    </row>
    <row r="11" spans="2:29" x14ac:dyDescent="0.95">
      <c r="B11" s="146">
        <f>SMALL(V4:V19, 8)</f>
        <v>8</v>
      </c>
      <c r="C11" s="161">
        <f>SMALL(W4:W19, 8)</f>
        <v>1</v>
      </c>
      <c r="D11" s="162" t="str">
        <f t="shared" si="12"/>
        <v>日進A</v>
      </c>
      <c r="E11" s="161">
        <f t="shared" si="0"/>
        <v>0</v>
      </c>
      <c r="F11" s="161" t="str">
        <f t="shared" si="1"/>
        <v>男</v>
      </c>
      <c r="G11" s="161">
        <f t="shared" si="6"/>
        <v>11</v>
      </c>
      <c r="H11" s="161" t="str">
        <f t="shared" si="7"/>
        <v/>
      </c>
      <c r="J11" s="161">
        <f>IF(K11="","",_xlfn.RANK.EQ(M11,M4:M19))</f>
        <v>1</v>
      </c>
      <c r="K11" s="163" t="str">
        <f t="shared" si="8"/>
        <v>長久手A</v>
      </c>
      <c r="L11" s="161">
        <f t="shared" si="9"/>
        <v>0</v>
      </c>
      <c r="M11" s="161">
        <f t="shared" si="10"/>
        <v>0</v>
      </c>
      <c r="O11" s="161" t="str">
        <f>IF(P11="","",_xlfn.RANK.EQ(R11,R4:R19))</f>
        <v/>
      </c>
      <c r="P11" s="163" t="str">
        <f t="shared" si="2"/>
        <v/>
      </c>
      <c r="Q11" s="161" t="str">
        <f t="shared" si="3"/>
        <v/>
      </c>
      <c r="R11" s="161" t="str">
        <f t="shared" si="4"/>
        <v/>
      </c>
      <c r="T11" s="164" t="str">
        <f>IF(選手!G10="","",選手!G10)</f>
        <v>日進A</v>
      </c>
      <c r="U11" s="164" t="str">
        <f>IF(COUNTIF(選手!J10:J13,"男")&gt;0,"男","女")</f>
        <v>男</v>
      </c>
      <c r="V11" s="161">
        <f>W11+COUNTIF(W4:W11,W11)-1</f>
        <v>8</v>
      </c>
      <c r="W11" s="161">
        <f>_xlfn.RANK.EQ(AC11,AC4:AC19)</f>
        <v>1</v>
      </c>
      <c r="X11" s="161">
        <f t="shared" si="11"/>
        <v>0</v>
      </c>
      <c r="Y11" s="161">
        <f>記録!N23</f>
        <v>0</v>
      </c>
      <c r="Z11" s="161">
        <f>記録!M23</f>
        <v>0</v>
      </c>
      <c r="AA11" s="161">
        <f>記録!L23</f>
        <v>0</v>
      </c>
      <c r="AB11" s="161">
        <f>記録!K23</f>
        <v>0</v>
      </c>
      <c r="AC11" s="161">
        <f t="shared" si="5"/>
        <v>0</v>
      </c>
    </row>
    <row r="12" spans="2:29" x14ac:dyDescent="0.95">
      <c r="B12" s="146">
        <f>SMALL(V4:V19, 9)</f>
        <v>9</v>
      </c>
      <c r="C12" s="161">
        <f>SMALL(W4:W19, 9)</f>
        <v>1</v>
      </c>
      <c r="D12" s="162" t="str">
        <f t="shared" si="12"/>
        <v>日進B</v>
      </c>
      <c r="E12" s="161">
        <f t="shared" si="0"/>
        <v>0</v>
      </c>
      <c r="F12" s="161" t="str">
        <f t="shared" si="1"/>
        <v>女</v>
      </c>
      <c r="G12" s="161" t="str">
        <f t="shared" si="6"/>
        <v/>
      </c>
      <c r="H12" s="161">
        <f t="shared" si="7"/>
        <v>12</v>
      </c>
      <c r="J12" s="161">
        <f>IF(K12="","",_xlfn.RANK.EQ(M12,M4:M19))</f>
        <v>1</v>
      </c>
      <c r="K12" s="163" t="str">
        <f t="shared" si="8"/>
        <v>豊明A</v>
      </c>
      <c r="L12" s="161">
        <f t="shared" si="9"/>
        <v>0</v>
      </c>
      <c r="M12" s="161">
        <f t="shared" si="10"/>
        <v>0</v>
      </c>
      <c r="O12" s="161" t="str">
        <f>IF(P12="","",_xlfn.RANK.EQ(R12,R4:R19))</f>
        <v/>
      </c>
      <c r="P12" s="163" t="str">
        <f t="shared" si="2"/>
        <v/>
      </c>
      <c r="Q12" s="161" t="str">
        <f t="shared" si="3"/>
        <v/>
      </c>
      <c r="R12" s="161" t="str">
        <f t="shared" si="4"/>
        <v/>
      </c>
      <c r="T12" s="164" t="str">
        <f>IF(選手!G14="","",選手!G14)</f>
        <v>日進B</v>
      </c>
      <c r="U12" s="164" t="str">
        <f>IF(COUNTIF(選手!J14:J17,"男")&gt;0,"男","女")</f>
        <v>女</v>
      </c>
      <c r="V12" s="161">
        <f>W12+COUNTIF(W4:W12,W12)-1</f>
        <v>9</v>
      </c>
      <c r="W12" s="161">
        <f>_xlfn.RANK.EQ(AC12,AC4:AC19)</f>
        <v>1</v>
      </c>
      <c r="X12" s="161">
        <f t="shared" si="11"/>
        <v>0</v>
      </c>
      <c r="Y12" s="161">
        <f>記録!J23</f>
        <v>0</v>
      </c>
      <c r="Z12" s="161">
        <f>記録!I23</f>
        <v>0</v>
      </c>
      <c r="AA12" s="161">
        <f>記録!H23</f>
        <v>0</v>
      </c>
      <c r="AB12" s="161">
        <f>記録!G23</f>
        <v>0</v>
      </c>
      <c r="AC12" s="161">
        <f t="shared" si="5"/>
        <v>0</v>
      </c>
    </row>
    <row r="13" spans="2:29" x14ac:dyDescent="0.95">
      <c r="B13" s="146">
        <f>SMALL(V4:V19, 10)</f>
        <v>10</v>
      </c>
      <c r="C13" s="161">
        <f>SMALL(W4:W19, 10)</f>
        <v>1</v>
      </c>
      <c r="D13" s="162" t="str">
        <f t="shared" si="12"/>
        <v>春日井B</v>
      </c>
      <c r="E13" s="161">
        <f t="shared" si="0"/>
        <v>0</v>
      </c>
      <c r="F13" s="161" t="str">
        <f t="shared" si="1"/>
        <v>女</v>
      </c>
      <c r="G13" s="161" t="str">
        <f t="shared" si="6"/>
        <v/>
      </c>
      <c r="H13" s="161">
        <f t="shared" si="7"/>
        <v>13</v>
      </c>
      <c r="J13" s="161" t="str">
        <f>IF(K13="","",_xlfn.RANK.EQ(M13,M4:M19))</f>
        <v/>
      </c>
      <c r="K13" s="163" t="str">
        <f t="shared" si="8"/>
        <v/>
      </c>
      <c r="L13" s="161" t="str">
        <f t="shared" si="9"/>
        <v/>
      </c>
      <c r="M13" s="161" t="str">
        <f t="shared" si="10"/>
        <v/>
      </c>
      <c r="O13" s="161" t="str">
        <f>IF(P13="","",_xlfn.RANK.EQ(R13,R4:R19))</f>
        <v/>
      </c>
      <c r="P13" s="163" t="str">
        <f t="shared" si="2"/>
        <v/>
      </c>
      <c r="Q13" s="161" t="str">
        <f t="shared" si="3"/>
        <v/>
      </c>
      <c r="R13" s="161" t="str">
        <f t="shared" si="4"/>
        <v/>
      </c>
      <c r="T13" s="164" t="str">
        <f>IF(選手!G18="","",選手!G18)</f>
        <v>春日井B</v>
      </c>
      <c r="U13" s="164" t="str">
        <f>IF(COUNTIF(選手!J18:J21,"男")&gt;0,"男","女")</f>
        <v>女</v>
      </c>
      <c r="V13" s="161">
        <f>W13+COUNTIF(W4:W13,W13)-1</f>
        <v>10</v>
      </c>
      <c r="W13" s="161">
        <f>_xlfn.RANK.EQ(AC13,AC4:AC19)</f>
        <v>1</v>
      </c>
      <c r="X13" s="161">
        <f t="shared" si="11"/>
        <v>0</v>
      </c>
      <c r="Y13" s="161">
        <f>記録!F23</f>
        <v>0</v>
      </c>
      <c r="Z13" s="161">
        <f>記録!E23</f>
        <v>0</v>
      </c>
      <c r="AA13" s="161">
        <f>記録!D23</f>
        <v>0</v>
      </c>
      <c r="AB13" s="161">
        <f>記録!C23</f>
        <v>0</v>
      </c>
      <c r="AC13" s="161">
        <f t="shared" si="5"/>
        <v>0</v>
      </c>
    </row>
    <row r="14" spans="2:29" x14ac:dyDescent="0.95">
      <c r="B14" s="146">
        <f>SMALL(V4:V19, 11)</f>
        <v>11</v>
      </c>
      <c r="C14" s="161">
        <f>SMALL(W4:W19, 11)</f>
        <v>1</v>
      </c>
      <c r="D14" s="162" t="str">
        <f t="shared" si="12"/>
        <v>長久手A</v>
      </c>
      <c r="E14" s="161">
        <f t="shared" si="0"/>
        <v>0</v>
      </c>
      <c r="F14" s="161" t="str">
        <f t="shared" si="1"/>
        <v>男</v>
      </c>
      <c r="G14" s="161">
        <f t="shared" si="6"/>
        <v>14</v>
      </c>
      <c r="H14" s="161" t="str">
        <f t="shared" si="7"/>
        <v/>
      </c>
      <c r="J14" s="161" t="str">
        <f>IF(K14="","",_xlfn.RANK.EQ(M14,M4:M19))</f>
        <v/>
      </c>
      <c r="K14" s="163" t="str">
        <f t="shared" si="8"/>
        <v/>
      </c>
      <c r="L14" s="161" t="str">
        <f t="shared" si="9"/>
        <v/>
      </c>
      <c r="M14" s="161" t="str">
        <f t="shared" si="10"/>
        <v/>
      </c>
      <c r="O14" s="161" t="str">
        <f>IF(P14="","",_xlfn.RANK.EQ(R14,R4:R19))</f>
        <v/>
      </c>
      <c r="P14" s="163" t="str">
        <f t="shared" si="2"/>
        <v/>
      </c>
      <c r="Q14" s="161" t="str">
        <f t="shared" si="3"/>
        <v/>
      </c>
      <c r="R14" s="161" t="str">
        <f t="shared" si="4"/>
        <v/>
      </c>
      <c r="T14" s="164" t="str">
        <f>IF(選手!L2="","",選手!L2)</f>
        <v>長久手A</v>
      </c>
      <c r="U14" s="164" t="str">
        <f>IF(COUNTIF(選手!O2:O5,"男")&gt;0,"男","女")</f>
        <v>男</v>
      </c>
      <c r="V14" s="161">
        <f>W14+COUNTIF(W4:W14,W14)-1</f>
        <v>11</v>
      </c>
      <c r="W14" s="161">
        <f>_xlfn.RANK.EQ(AC14,AC4:AC19)</f>
        <v>1</v>
      </c>
      <c r="X14" s="161">
        <f t="shared" si="11"/>
        <v>0</v>
      </c>
      <c r="Y14" s="161">
        <f>記録!R41</f>
        <v>0</v>
      </c>
      <c r="Z14" s="161">
        <f>記録!Q41</f>
        <v>0</v>
      </c>
      <c r="AA14" s="161">
        <f>記録!P41</f>
        <v>0</v>
      </c>
      <c r="AB14" s="161">
        <f>記録!O41</f>
        <v>0</v>
      </c>
      <c r="AC14" s="161">
        <f t="shared" si="5"/>
        <v>0</v>
      </c>
    </row>
    <row r="15" spans="2:29" x14ac:dyDescent="0.95">
      <c r="B15" s="146">
        <f>SMALL(V4:V19, 12)</f>
        <v>12</v>
      </c>
      <c r="C15" s="161">
        <f>SMALL(W4:W19, 12)</f>
        <v>1</v>
      </c>
      <c r="D15" s="162" t="str">
        <f t="shared" si="12"/>
        <v>長久手B</v>
      </c>
      <c r="E15" s="161">
        <f t="shared" si="0"/>
        <v>0</v>
      </c>
      <c r="F15" s="161" t="str">
        <f t="shared" si="1"/>
        <v>女</v>
      </c>
      <c r="G15" s="161" t="str">
        <f t="shared" si="6"/>
        <v/>
      </c>
      <c r="H15" s="161">
        <f t="shared" si="7"/>
        <v>15</v>
      </c>
      <c r="J15" s="161" t="str">
        <f>IF(K15="","",_xlfn.RANK.EQ(M15,M4:M19))</f>
        <v/>
      </c>
      <c r="K15" s="163" t="str">
        <f t="shared" si="8"/>
        <v/>
      </c>
      <c r="L15" s="161" t="str">
        <f t="shared" si="9"/>
        <v/>
      </c>
      <c r="M15" s="161" t="str">
        <f t="shared" si="10"/>
        <v/>
      </c>
      <c r="O15" s="161" t="str">
        <f>IF(P15="","",_xlfn.RANK.EQ(R15,R4:R19))</f>
        <v/>
      </c>
      <c r="P15" s="163" t="str">
        <f t="shared" si="2"/>
        <v/>
      </c>
      <c r="Q15" s="161" t="str">
        <f t="shared" si="3"/>
        <v/>
      </c>
      <c r="R15" s="161" t="str">
        <f t="shared" si="4"/>
        <v/>
      </c>
      <c r="T15" s="164" t="str">
        <f>IF(選手!L6="","",選手!L6)</f>
        <v>長久手B</v>
      </c>
      <c r="U15" s="164" t="str">
        <f>IF(COUNTIF(選手!O6:O9,"男")&gt;0,"男","女")</f>
        <v>女</v>
      </c>
      <c r="V15" s="161">
        <f>W15+COUNTIF(W4:W15,W15)-1</f>
        <v>12</v>
      </c>
      <c r="W15" s="161">
        <f>_xlfn.RANK.EQ(AC15,AC4:AC19)</f>
        <v>1</v>
      </c>
      <c r="X15" s="161">
        <f t="shared" si="11"/>
        <v>0</v>
      </c>
      <c r="Y15" s="161">
        <f>記録!N41</f>
        <v>0</v>
      </c>
      <c r="Z15" s="161">
        <f>記録!M41</f>
        <v>0</v>
      </c>
      <c r="AA15" s="161">
        <f>記録!L41</f>
        <v>0</v>
      </c>
      <c r="AB15" s="161">
        <f>記録!K41</f>
        <v>0</v>
      </c>
      <c r="AC15" s="161">
        <f t="shared" si="5"/>
        <v>0</v>
      </c>
    </row>
    <row r="16" spans="2:29" x14ac:dyDescent="0.95">
      <c r="B16" s="146">
        <f>SMALL(V4:V19, 13)</f>
        <v>13</v>
      </c>
      <c r="C16" s="161">
        <f>SMALL(W4:W19, 13)</f>
        <v>1</v>
      </c>
      <c r="D16" s="162" t="str">
        <f t="shared" si="12"/>
        <v>豊明A</v>
      </c>
      <c r="E16" s="161">
        <f t="shared" si="0"/>
        <v>0</v>
      </c>
      <c r="F16" s="161" t="str">
        <f t="shared" si="1"/>
        <v>男</v>
      </c>
      <c r="G16" s="161">
        <f t="shared" si="6"/>
        <v>16</v>
      </c>
      <c r="H16" s="161" t="str">
        <f t="shared" si="7"/>
        <v/>
      </c>
      <c r="J16" s="161" t="str">
        <f>IF(K16="","",_xlfn.RANK.EQ(M16,M4:M19))</f>
        <v/>
      </c>
      <c r="K16" s="163" t="str">
        <f t="shared" si="8"/>
        <v/>
      </c>
      <c r="L16" s="161" t="str">
        <f t="shared" si="9"/>
        <v/>
      </c>
      <c r="M16" s="161" t="str">
        <f t="shared" si="10"/>
        <v/>
      </c>
      <c r="O16" s="161" t="str">
        <f>IF(P16="","",_xlfn.RANK.EQ(R16,R4:R19))</f>
        <v/>
      </c>
      <c r="P16" s="163" t="str">
        <f t="shared" si="2"/>
        <v/>
      </c>
      <c r="Q16" s="161" t="str">
        <f t="shared" si="3"/>
        <v/>
      </c>
      <c r="R16" s="161" t="str">
        <f t="shared" si="4"/>
        <v/>
      </c>
      <c r="T16" s="164" t="str">
        <f>IF(選手!L10="","",選手!L10)</f>
        <v>豊明A</v>
      </c>
      <c r="U16" s="164" t="str">
        <f>IF(COUNTIF(選手!O10:O13,"男")&gt;0,"男","女")</f>
        <v>男</v>
      </c>
      <c r="V16" s="161">
        <f>W16+COUNTIF(W4:W16,W16)-1</f>
        <v>13</v>
      </c>
      <c r="W16" s="161">
        <f>_xlfn.RANK.EQ(AC16,AC4:AC19)</f>
        <v>1</v>
      </c>
      <c r="X16" s="161">
        <f t="shared" si="11"/>
        <v>0</v>
      </c>
      <c r="Y16" s="161">
        <f>記録!J41</f>
        <v>0</v>
      </c>
      <c r="Z16" s="161">
        <f>記録!I41</f>
        <v>0</v>
      </c>
      <c r="AA16" s="161">
        <f>記録!H41</f>
        <v>0</v>
      </c>
      <c r="AB16" s="161">
        <f>記録!G41</f>
        <v>0</v>
      </c>
      <c r="AC16" s="161">
        <f t="shared" si="5"/>
        <v>0</v>
      </c>
    </row>
    <row r="17" spans="2:29" x14ac:dyDescent="0.95">
      <c r="B17" s="146">
        <f>SMALL(V4:V19, 14)</f>
        <v>14</v>
      </c>
      <c r="C17" s="161">
        <f>SMALL(W4:W19, 14)</f>
        <v>1</v>
      </c>
      <c r="D17" s="162" t="str">
        <f t="shared" si="12"/>
        <v>豊明B</v>
      </c>
      <c r="E17" s="161">
        <f t="shared" si="0"/>
        <v>0</v>
      </c>
      <c r="F17" s="161" t="str">
        <f t="shared" si="1"/>
        <v>女</v>
      </c>
      <c r="G17" s="161" t="str">
        <f t="shared" si="6"/>
        <v/>
      </c>
      <c r="H17" s="161">
        <f t="shared" si="7"/>
        <v>17</v>
      </c>
      <c r="J17" s="161" t="str">
        <f>IF(K17="","",_xlfn.RANK.EQ(M17,M4:M19))</f>
        <v/>
      </c>
      <c r="K17" s="163" t="str">
        <f t="shared" si="8"/>
        <v/>
      </c>
      <c r="L17" s="161" t="str">
        <f t="shared" si="9"/>
        <v/>
      </c>
      <c r="M17" s="161" t="str">
        <f t="shared" si="10"/>
        <v/>
      </c>
      <c r="O17" s="161" t="str">
        <f>IF(P17="","",_xlfn.RANK.EQ(R17,R4:R19))</f>
        <v/>
      </c>
      <c r="P17" s="163" t="str">
        <f t="shared" si="2"/>
        <v/>
      </c>
      <c r="Q17" s="161" t="str">
        <f t="shared" si="3"/>
        <v/>
      </c>
      <c r="R17" s="161" t="str">
        <f t="shared" si="4"/>
        <v/>
      </c>
      <c r="T17" s="164" t="str">
        <f>IF(選手!L14="","",選手!L14)</f>
        <v>豊明B</v>
      </c>
      <c r="U17" s="164" t="str">
        <f>IF(COUNTIF(選手!O14:O17,"男")&gt;0,"男","女")</f>
        <v>女</v>
      </c>
      <c r="V17" s="161">
        <f>W17+COUNTIF(W4:W17,W17)-1</f>
        <v>14</v>
      </c>
      <c r="W17" s="161">
        <f>_xlfn.RANK.EQ(AC17,AC4:AC19)</f>
        <v>1</v>
      </c>
      <c r="X17" s="161">
        <f t="shared" si="11"/>
        <v>0</v>
      </c>
      <c r="Y17" s="161">
        <f>記録!F41</f>
        <v>0</v>
      </c>
      <c r="Z17" s="161">
        <f>記録!E41</f>
        <v>0</v>
      </c>
      <c r="AA17" s="161">
        <f>記録!D41</f>
        <v>0</v>
      </c>
      <c r="AB17" s="161">
        <f>記録!C41</f>
        <v>0</v>
      </c>
      <c r="AC17" s="161">
        <f t="shared" si="5"/>
        <v>0</v>
      </c>
    </row>
    <row r="18" spans="2:29" x14ac:dyDescent="0.95">
      <c r="B18" s="146">
        <f>SMALL(V4:V19, 15)</f>
        <v>15</v>
      </c>
      <c r="C18" s="161">
        <f>SMALL(W4:W19, 15)</f>
        <v>1</v>
      </c>
      <c r="D18" s="162" t="str">
        <f t="shared" si="12"/>
        <v/>
      </c>
      <c r="E18" s="161" t="str">
        <f t="shared" si="0"/>
        <v/>
      </c>
      <c r="F18" s="161" t="str">
        <f t="shared" si="1"/>
        <v/>
      </c>
      <c r="G18" s="161" t="str">
        <f t="shared" si="6"/>
        <v/>
      </c>
      <c r="H18" s="161" t="str">
        <f t="shared" si="7"/>
        <v/>
      </c>
      <c r="J18" s="161" t="str">
        <f>IF(K18="","",_xlfn.RANK.EQ(M18,M4:M19))</f>
        <v/>
      </c>
      <c r="K18" s="163" t="str">
        <f t="shared" si="8"/>
        <v/>
      </c>
      <c r="L18" s="161" t="str">
        <f t="shared" si="9"/>
        <v/>
      </c>
      <c r="M18" s="161" t="str">
        <f t="shared" si="10"/>
        <v/>
      </c>
      <c r="O18" s="161" t="str">
        <f>IF(P18="","",_xlfn.RANK.EQ(R18,R4:R19))</f>
        <v/>
      </c>
      <c r="P18" s="163" t="str">
        <f t="shared" si="2"/>
        <v/>
      </c>
      <c r="Q18" s="161" t="str">
        <f t="shared" si="3"/>
        <v/>
      </c>
      <c r="R18" s="161" t="str">
        <f t="shared" si="4"/>
        <v/>
      </c>
      <c r="T18" s="164" t="str">
        <f>IF(選手!Q2="","",選手!Q2)</f>
        <v/>
      </c>
      <c r="U18" s="164"/>
      <c r="V18" s="161">
        <f>W18+COUNTIF(W4:W18,W18)-1</f>
        <v>15</v>
      </c>
      <c r="W18" s="161">
        <f>_xlfn.RANK.EQ(AC18,AC4:AC19)</f>
        <v>1</v>
      </c>
      <c r="X18" s="161">
        <f t="shared" si="11"/>
        <v>0</v>
      </c>
      <c r="Y18" s="161">
        <f>記録!AE41</f>
        <v>0</v>
      </c>
      <c r="Z18" s="161">
        <f>記録!AD41</f>
        <v>0</v>
      </c>
      <c r="AA18" s="161">
        <f>記録!AC41</f>
        <v>0</v>
      </c>
      <c r="AB18" s="161">
        <f>記録!AB41</f>
        <v>0</v>
      </c>
      <c r="AC18" s="161">
        <f t="shared" si="5"/>
        <v>0</v>
      </c>
    </row>
    <row r="19" spans="2:29" x14ac:dyDescent="0.95">
      <c r="B19" s="146">
        <f>SMALL(V4:V19, 16)</f>
        <v>16</v>
      </c>
      <c r="C19" s="161">
        <f>SMALL(W4:W19, 16)</f>
        <v>1</v>
      </c>
      <c r="D19" s="162" t="str">
        <f t="shared" si="12"/>
        <v/>
      </c>
      <c r="E19" s="161" t="str">
        <f t="shared" si="0"/>
        <v/>
      </c>
      <c r="F19" s="161" t="str">
        <f t="shared" si="1"/>
        <v/>
      </c>
      <c r="G19" s="161" t="str">
        <f t="shared" si="6"/>
        <v/>
      </c>
      <c r="H19" s="161" t="str">
        <f t="shared" si="7"/>
        <v/>
      </c>
      <c r="J19" s="165" t="str">
        <f>IF(K19="","",_xlfn.RANK.EQ(M19,M4:M19))</f>
        <v/>
      </c>
      <c r="K19" s="166" t="str">
        <f t="shared" si="8"/>
        <v/>
      </c>
      <c r="L19" s="165" t="str">
        <f>IF(K19="","",INDEX(E:E,MATCH(K19,D:D,0)))</f>
        <v/>
      </c>
      <c r="M19" s="165" t="str">
        <f t="shared" si="10"/>
        <v/>
      </c>
      <c r="O19" s="165" t="str">
        <f>IF(P19="","",_xlfn.RANK.EQ(R19,R4:R19))</f>
        <v/>
      </c>
      <c r="P19" s="166" t="str">
        <f t="shared" si="2"/>
        <v/>
      </c>
      <c r="Q19" s="165" t="str">
        <f t="shared" si="3"/>
        <v/>
      </c>
      <c r="R19" s="165" t="str">
        <f t="shared" si="4"/>
        <v/>
      </c>
      <c r="T19" s="167" t="str">
        <f>IF(選手!Q6="","",選手!Q6)</f>
        <v/>
      </c>
      <c r="U19" s="161"/>
      <c r="V19" s="161">
        <f>W19+COUNTIF(W4:W19,W19)-1</f>
        <v>16</v>
      </c>
      <c r="W19" s="161">
        <f>_xlfn.RANK.EQ(AC19,AC4:AC19)</f>
        <v>1</v>
      </c>
      <c r="X19" s="161">
        <f t="shared" si="11"/>
        <v>0</v>
      </c>
      <c r="Y19" s="161">
        <f>記録!AA41</f>
        <v>0</v>
      </c>
      <c r="Z19" s="161">
        <f>記録!Z41</f>
        <v>0</v>
      </c>
      <c r="AA19" s="161">
        <f>記録!Y41</f>
        <v>0</v>
      </c>
      <c r="AB19" s="161">
        <f>記録!X41</f>
        <v>0</v>
      </c>
      <c r="AC19" s="161">
        <f t="shared" si="5"/>
        <v>0</v>
      </c>
    </row>
  </sheetData>
  <mergeCells count="4">
    <mergeCell ref="J2:L2"/>
    <mergeCell ref="O2:Q2"/>
    <mergeCell ref="C2:E2"/>
    <mergeCell ref="T2:AC2"/>
  </mergeCells>
  <phoneticPr fontId="1"/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B6441-2015-4799-83C4-2E8B41E544A0}">
  <dimension ref="B1:AG66"/>
  <sheetViews>
    <sheetView zoomScaleNormal="100" workbookViewId="0">
      <selection activeCell="P3" sqref="P3"/>
    </sheetView>
  </sheetViews>
  <sheetFormatPr defaultRowHeight="22.5" x14ac:dyDescent="0.75"/>
  <cols>
    <col min="1" max="1" width="3.58203125" style="115" customWidth="1"/>
    <col min="2" max="2" width="4.83203125" style="115" hidden="1" customWidth="1"/>
    <col min="3" max="3" width="6.1640625" style="115" bestFit="1" customWidth="1"/>
    <col min="4" max="4" width="12.58203125" style="115" bestFit="1" customWidth="1"/>
    <col min="5" max="5" width="5.75" style="115" bestFit="1" customWidth="1"/>
    <col min="6" max="6" width="16.75" style="115" bestFit="1" customWidth="1"/>
    <col min="7" max="7" width="6.1640625" style="115" bestFit="1" customWidth="1"/>
    <col min="8" max="8" width="8.5" style="115" bestFit="1" customWidth="1"/>
    <col min="9" max="10" width="3.1640625" style="115" hidden="1" customWidth="1"/>
    <col min="11" max="11" width="2.1640625" style="115" bestFit="1" customWidth="1"/>
    <col min="12" max="12" width="6.1640625" style="115" bestFit="1" customWidth="1"/>
    <col min="13" max="13" width="12.58203125" style="115" bestFit="1" customWidth="1"/>
    <col min="14" max="14" width="5.75" style="115" bestFit="1" customWidth="1"/>
    <col min="15" max="15" width="14.25" style="115" bestFit="1" customWidth="1"/>
    <col min="16" max="16" width="8.5" style="115" bestFit="1" customWidth="1"/>
    <col min="17" max="17" width="14.5" style="115" hidden="1" customWidth="1"/>
    <col min="18" max="18" width="3.58203125" style="115" customWidth="1"/>
    <col min="19" max="19" width="6.1640625" style="115" bestFit="1" customWidth="1"/>
    <col min="20" max="20" width="12.58203125" style="115" bestFit="1" customWidth="1"/>
    <col min="21" max="21" width="5.75" style="115" bestFit="1" customWidth="1"/>
    <col min="22" max="22" width="16.75" style="115" bestFit="1" customWidth="1"/>
    <col min="23" max="23" width="8.5" style="115" bestFit="1" customWidth="1"/>
    <col min="24" max="24" width="14.5" style="115" hidden="1" customWidth="1"/>
    <col min="25" max="25" width="3.58203125" style="115" customWidth="1"/>
    <col min="26" max="26" width="14.25" style="115" bestFit="1" customWidth="1"/>
    <col min="27" max="27" width="5.75" style="115" bestFit="1" customWidth="1"/>
    <col min="28" max="28" width="16.75" style="115" bestFit="1" customWidth="1"/>
    <col min="29" max="29" width="6.1640625" style="115" bestFit="1" customWidth="1"/>
    <col min="30" max="30" width="8.5" style="115" bestFit="1" customWidth="1"/>
    <col min="31" max="33" width="10.1640625" style="115" hidden="1" customWidth="1"/>
    <col min="34" max="16384" width="8.6640625" style="115"/>
  </cols>
  <sheetData>
    <row r="1" spans="2:33" x14ac:dyDescent="0.75">
      <c r="C1" s="195" t="s">
        <v>36</v>
      </c>
      <c r="D1" s="196"/>
      <c r="E1" s="196"/>
      <c r="F1" s="196"/>
      <c r="G1" s="196"/>
      <c r="H1" s="197"/>
      <c r="L1" s="198" t="s">
        <v>33</v>
      </c>
      <c r="M1" s="199"/>
      <c r="N1" s="199"/>
      <c r="O1" s="199"/>
      <c r="P1" s="200"/>
      <c r="S1" s="201" t="s">
        <v>34</v>
      </c>
      <c r="T1" s="202"/>
      <c r="U1" s="202"/>
      <c r="V1" s="202"/>
      <c r="W1" s="203"/>
    </row>
    <row r="2" spans="2:33" x14ac:dyDescent="0.75">
      <c r="C2" s="116" t="s">
        <v>11</v>
      </c>
      <c r="D2" s="117" t="s">
        <v>2</v>
      </c>
      <c r="E2" s="117" t="s">
        <v>18</v>
      </c>
      <c r="F2" s="117" t="s">
        <v>0</v>
      </c>
      <c r="G2" s="117" t="s">
        <v>1</v>
      </c>
      <c r="H2" s="118" t="s">
        <v>6</v>
      </c>
      <c r="L2" s="119" t="s">
        <v>11</v>
      </c>
      <c r="M2" s="120" t="s">
        <v>2</v>
      </c>
      <c r="N2" s="120" t="s">
        <v>18</v>
      </c>
      <c r="O2" s="120" t="s">
        <v>0</v>
      </c>
      <c r="P2" s="121" t="s">
        <v>6</v>
      </c>
      <c r="S2" s="122" t="s">
        <v>11</v>
      </c>
      <c r="T2" s="123" t="s">
        <v>2</v>
      </c>
      <c r="U2" s="123" t="s">
        <v>18</v>
      </c>
      <c r="V2" s="123" t="s">
        <v>0</v>
      </c>
      <c r="W2" s="124" t="s">
        <v>6</v>
      </c>
      <c r="Z2" s="125" t="s">
        <v>2</v>
      </c>
      <c r="AA2" s="126" t="s">
        <v>18</v>
      </c>
      <c r="AB2" s="126" t="s">
        <v>0</v>
      </c>
      <c r="AC2" s="126" t="s">
        <v>1</v>
      </c>
      <c r="AD2" s="127" t="s">
        <v>6</v>
      </c>
      <c r="AE2" s="128" t="s">
        <v>31</v>
      </c>
      <c r="AF2" s="129" t="s">
        <v>16</v>
      </c>
      <c r="AG2" s="129" t="s">
        <v>17</v>
      </c>
    </row>
    <row r="3" spans="2:33" x14ac:dyDescent="0.75">
      <c r="B3" s="115">
        <v>1</v>
      </c>
      <c r="C3" s="130">
        <f t="shared" ref="C3:C34" si="0">SMALL(AG:AG, B3)</f>
        <v>1</v>
      </c>
      <c r="D3" s="131" t="str">
        <f t="shared" ref="D3:D34" si="1">INDEX(Z:Z,MATCH(B3,AF:AF,0))</f>
        <v>瀬戸A</v>
      </c>
      <c r="E3" s="130">
        <f t="shared" ref="E3:E34" si="2">INDEX(AA:AA,MATCH(B3,AF:AF,0))</f>
        <v>1</v>
      </c>
      <c r="F3" s="131" t="str">
        <f t="shared" ref="F3:F34" si="3">INDEX(AB:AB,MATCH(B3,AF:AF,0))</f>
        <v>野村 清美</v>
      </c>
      <c r="G3" s="130" t="str">
        <f t="shared" ref="G3:G34" si="4">INDEX(AC:AC,MATCH(B3,AF:AF,0))</f>
        <v>男</v>
      </c>
      <c r="H3" s="132">
        <f t="shared" ref="H3:H66" si="5">INDEX(AD:AD,MATCH(F3,AB:AB,0))</f>
        <v>0</v>
      </c>
      <c r="I3" s="133">
        <f>IF($G3="男",ROW(),"")</f>
        <v>3</v>
      </c>
      <c r="J3" s="133" t="str">
        <f>IF($G3="女",ROW(),"")</f>
        <v/>
      </c>
      <c r="L3" s="134">
        <f>IF(O3="","",_xlfn.RANK.EQ(Q3,Q:Q))</f>
        <v>1</v>
      </c>
      <c r="M3" s="135" t="str">
        <f>IF(O3="","",INDEX(D:D,MATCH(O3,F:F,0)))</f>
        <v>瀬戸A</v>
      </c>
      <c r="N3" s="134">
        <f t="shared" ref="N3:N34" si="6">IF(O3="","",INDEX(E:E,MATCH(O3,F:F,0)))</f>
        <v>1</v>
      </c>
      <c r="O3" s="136" t="str">
        <f>IF(COUNT(I:I)&lt;ROW(B1),"",INDEX(F:F,SMALL(I:I,ROW(B1))))</f>
        <v>野村 清美</v>
      </c>
      <c r="P3" s="132">
        <f>IF(O3="","",INDEX(H:H,MATCH(O3,F:F,0)))</f>
        <v>0</v>
      </c>
      <c r="Q3" s="134">
        <f>IF(O3="","",INDEX(AE:AE,MATCH(O3,AB:AB,0)))</f>
        <v>0.1</v>
      </c>
      <c r="S3" s="134">
        <f>IF(V3="","",_xlfn.RANK.EQ(X3,X:X))</f>
        <v>1</v>
      </c>
      <c r="T3" s="135" t="str">
        <f t="shared" ref="T3:T34" si="7">IF(V3="","",INDEX(D:D,MATCH(V3,F:F,0)))</f>
        <v>瀬戸A</v>
      </c>
      <c r="U3" s="134">
        <f t="shared" ref="U3:U34" si="8">IF(V3="","",INDEX(E:E,MATCH(V3,F:F,0)))</f>
        <v>3</v>
      </c>
      <c r="V3" s="136" t="str">
        <f>IF(COUNT(J:J)&lt;ROW(B1),"",INDEX(F:F,SMALL(J:J,ROW(B1))))</f>
        <v>谷口 弥生</v>
      </c>
      <c r="W3" s="132">
        <f t="shared" ref="W3:W34" si="9">IF(V3="","",INDEX(H:H,MATCH(V3,F:F,0)))</f>
        <v>0</v>
      </c>
      <c r="X3" s="134">
        <f t="shared" ref="X3:X22" si="10">IF(V3="","",INDEX(AE:AE,MATCH(V3,AB:AB,0)))</f>
        <v>0.1</v>
      </c>
      <c r="Z3" s="137" t="str">
        <f>IF(選手!B2="","",選手!B2)</f>
        <v>瀬戸A</v>
      </c>
      <c r="AA3" s="137">
        <f>IF(選手!C2="","",選手!C2)</f>
        <v>1</v>
      </c>
      <c r="AB3" s="138" t="str">
        <f>IF(選手!D2="","",選手!D2)</f>
        <v>野村 清美</v>
      </c>
      <c r="AC3" s="137" t="str">
        <f>IF(選手!E2="","",選手!E2)</f>
        <v>男</v>
      </c>
      <c r="AD3" s="139">
        <f>記録!V5</f>
        <v>0</v>
      </c>
      <c r="AE3" s="138">
        <f>記録!V4</f>
        <v>0.1</v>
      </c>
      <c r="AF3" s="138">
        <f>AG3</f>
        <v>1</v>
      </c>
      <c r="AG3" s="138">
        <f t="shared" ref="AG3:AG34" si="11">_xlfn.RANK.EQ(AE3,AE:AE)</f>
        <v>1</v>
      </c>
    </row>
    <row r="4" spans="2:33" x14ac:dyDescent="0.75">
      <c r="B4" s="115">
        <v>2</v>
      </c>
      <c r="C4" s="130">
        <f t="shared" si="0"/>
        <v>1</v>
      </c>
      <c r="D4" s="131" t="str">
        <f t="shared" si="1"/>
        <v>瀬戸A</v>
      </c>
      <c r="E4" s="130">
        <f t="shared" si="2"/>
        <v>2</v>
      </c>
      <c r="F4" s="131" t="str">
        <f t="shared" si="3"/>
        <v>加藤 崇文</v>
      </c>
      <c r="G4" s="130" t="str">
        <f t="shared" si="4"/>
        <v>男</v>
      </c>
      <c r="H4" s="132">
        <f t="shared" si="5"/>
        <v>0</v>
      </c>
      <c r="I4" s="133">
        <f t="shared" ref="I4:I66" si="12">IF($G4="男",ROW(),"")</f>
        <v>4</v>
      </c>
      <c r="J4" s="133" t="str">
        <f t="shared" ref="J4:J66" si="13">IF($G4="女",ROW(),"")</f>
        <v/>
      </c>
      <c r="L4" s="134">
        <f t="shared" ref="L4:L22" si="14">IF(O4="","",_xlfn.RANK.EQ(Q4,Q:Q))</f>
        <v>1</v>
      </c>
      <c r="M4" s="135" t="str">
        <f t="shared" ref="M4:M34" si="15">IF(O4="","",INDEX(D:D,MATCH(O4,F:F,0)))</f>
        <v>瀬戸A</v>
      </c>
      <c r="N4" s="134">
        <f t="shared" si="6"/>
        <v>2</v>
      </c>
      <c r="O4" s="136" t="str">
        <f t="shared" ref="O4:O34" si="16">IF(COUNT(I:I)&lt;ROW(B2),"",INDEX(F:F,SMALL(I:I,ROW(B2))))</f>
        <v>加藤 崇文</v>
      </c>
      <c r="P4" s="132">
        <f t="shared" ref="P4:P34" si="17">IF(O4="","",INDEX(H:H,MATCH(O4,F:F,0)))</f>
        <v>0</v>
      </c>
      <c r="Q4" s="134">
        <f t="shared" ref="Q4:Q22" si="18">IF(O4="","",INDEX(AE:AE,MATCH(O4,AB:AB,0)))</f>
        <v>0.1</v>
      </c>
      <c r="S4" s="134">
        <f t="shared" ref="S4:S22" si="19">IF(V4="","",_xlfn.RANK.EQ(X4,X:X))</f>
        <v>1</v>
      </c>
      <c r="T4" s="135" t="str">
        <f t="shared" si="7"/>
        <v>瀬戸A</v>
      </c>
      <c r="U4" s="134">
        <f t="shared" si="8"/>
        <v>4</v>
      </c>
      <c r="V4" s="136" t="str">
        <f t="shared" ref="V4:V34" si="20">IF(COUNT(J:J)&lt;ROW(B2),"",INDEX(F:F,SMALL(J:J,ROW(B2))))</f>
        <v>森竹 結衣</v>
      </c>
      <c r="W4" s="132">
        <f t="shared" si="9"/>
        <v>0</v>
      </c>
      <c r="X4" s="134">
        <f t="shared" si="10"/>
        <v>0.1</v>
      </c>
      <c r="Z4" s="137" t="str">
        <f>IF(選手!B3="","",選手!B3)</f>
        <v>瀬戸A</v>
      </c>
      <c r="AA4" s="137">
        <f>IF(選手!C3="","",選手!C3)</f>
        <v>2</v>
      </c>
      <c r="AB4" s="138" t="str">
        <f>IF(選手!D3="","",選手!D3)</f>
        <v>加藤 崇文</v>
      </c>
      <c r="AC4" s="137" t="str">
        <f>IF(選手!E3="","",選手!E3)</f>
        <v>男</v>
      </c>
      <c r="AD4" s="139">
        <f>記録!U5</f>
        <v>0</v>
      </c>
      <c r="AE4" s="138">
        <f>記録!U4</f>
        <v>0.1</v>
      </c>
      <c r="AF4" s="138">
        <f>AG4+COUNTIF(AG3:AG4,AG4)-1</f>
        <v>2</v>
      </c>
      <c r="AG4" s="138">
        <f t="shared" si="11"/>
        <v>1</v>
      </c>
    </row>
    <row r="5" spans="2:33" x14ac:dyDescent="0.75">
      <c r="B5" s="115">
        <v>3</v>
      </c>
      <c r="C5" s="130">
        <f t="shared" si="0"/>
        <v>1</v>
      </c>
      <c r="D5" s="131" t="str">
        <f t="shared" si="1"/>
        <v>瀬戸A</v>
      </c>
      <c r="E5" s="130">
        <f t="shared" si="2"/>
        <v>3</v>
      </c>
      <c r="F5" s="131" t="str">
        <f t="shared" si="3"/>
        <v>谷口 弥生</v>
      </c>
      <c r="G5" s="130" t="str">
        <f t="shared" si="4"/>
        <v>女</v>
      </c>
      <c r="H5" s="132">
        <f t="shared" si="5"/>
        <v>0</v>
      </c>
      <c r="I5" s="133" t="str">
        <f t="shared" si="12"/>
        <v/>
      </c>
      <c r="J5" s="133">
        <f t="shared" si="13"/>
        <v>5</v>
      </c>
      <c r="L5" s="134">
        <f t="shared" si="14"/>
        <v>1</v>
      </c>
      <c r="M5" s="135" t="str">
        <f t="shared" si="15"/>
        <v>瀬戸B</v>
      </c>
      <c r="N5" s="134">
        <f t="shared" si="6"/>
        <v>5</v>
      </c>
      <c r="O5" s="136" t="str">
        <f t="shared" si="16"/>
        <v>伊藤 寿邦</v>
      </c>
      <c r="P5" s="132">
        <f t="shared" si="17"/>
        <v>0</v>
      </c>
      <c r="Q5" s="134">
        <f t="shared" si="18"/>
        <v>0.1</v>
      </c>
      <c r="S5" s="134">
        <f t="shared" si="19"/>
        <v>1</v>
      </c>
      <c r="T5" s="135" t="str">
        <f t="shared" si="7"/>
        <v>瀬戸B</v>
      </c>
      <c r="U5" s="134">
        <f t="shared" si="8"/>
        <v>6</v>
      </c>
      <c r="V5" s="136" t="str">
        <f t="shared" si="20"/>
        <v>小林 都</v>
      </c>
      <c r="W5" s="132">
        <f t="shared" si="9"/>
        <v>0</v>
      </c>
      <c r="X5" s="134">
        <f t="shared" si="10"/>
        <v>0.1</v>
      </c>
      <c r="Z5" s="137" t="str">
        <f>IF(選手!B4="","",選手!B4)</f>
        <v>瀬戸A</v>
      </c>
      <c r="AA5" s="137">
        <f>IF(選手!C4="","",選手!C4)</f>
        <v>3</v>
      </c>
      <c r="AB5" s="138" t="str">
        <f>IF(選手!D4="","",選手!D4)</f>
        <v>谷口 弥生</v>
      </c>
      <c r="AC5" s="137" t="str">
        <f>IF(選手!E4="","",選手!E4)</f>
        <v>女</v>
      </c>
      <c r="AD5" s="139">
        <f>記録!T5</f>
        <v>0</v>
      </c>
      <c r="AE5" s="138">
        <f>記録!T4</f>
        <v>0.1</v>
      </c>
      <c r="AF5" s="138">
        <f>AG5+COUNTIF(AG3:AG5,AG5)-1</f>
        <v>3</v>
      </c>
      <c r="AG5" s="138">
        <f t="shared" si="11"/>
        <v>1</v>
      </c>
    </row>
    <row r="6" spans="2:33" x14ac:dyDescent="0.75">
      <c r="B6" s="115">
        <v>4</v>
      </c>
      <c r="C6" s="130">
        <f t="shared" si="0"/>
        <v>1</v>
      </c>
      <c r="D6" s="131" t="str">
        <f t="shared" si="1"/>
        <v>瀬戸A</v>
      </c>
      <c r="E6" s="130">
        <f t="shared" si="2"/>
        <v>4</v>
      </c>
      <c r="F6" s="131" t="str">
        <f t="shared" si="3"/>
        <v>森竹 結衣</v>
      </c>
      <c r="G6" s="130" t="str">
        <f t="shared" si="4"/>
        <v>女</v>
      </c>
      <c r="H6" s="132">
        <f t="shared" si="5"/>
        <v>0</v>
      </c>
      <c r="I6" s="133" t="str">
        <f t="shared" si="12"/>
        <v/>
      </c>
      <c r="J6" s="133">
        <f t="shared" si="13"/>
        <v>6</v>
      </c>
      <c r="L6" s="134">
        <f t="shared" si="14"/>
        <v>1</v>
      </c>
      <c r="M6" s="135" t="str">
        <f t="shared" si="15"/>
        <v>瀬戸B</v>
      </c>
      <c r="N6" s="134">
        <f t="shared" si="6"/>
        <v>8</v>
      </c>
      <c r="O6" s="136" t="str">
        <f t="shared" si="16"/>
        <v>加藤 広史</v>
      </c>
      <c r="P6" s="132">
        <f t="shared" si="17"/>
        <v>0</v>
      </c>
      <c r="Q6" s="134">
        <f t="shared" si="18"/>
        <v>0.1</v>
      </c>
      <c r="S6" s="134">
        <f t="shared" si="19"/>
        <v>1</v>
      </c>
      <c r="T6" s="135" t="str">
        <f t="shared" si="7"/>
        <v>瀬戸B</v>
      </c>
      <c r="U6" s="134">
        <f t="shared" si="8"/>
        <v>7</v>
      </c>
      <c r="V6" s="136" t="str">
        <f t="shared" si="20"/>
        <v>瀬山 博子</v>
      </c>
      <c r="W6" s="132">
        <f t="shared" si="9"/>
        <v>0</v>
      </c>
      <c r="X6" s="134">
        <f t="shared" si="10"/>
        <v>0.1</v>
      </c>
      <c r="Z6" s="137" t="str">
        <f>IF(選手!B5="","",選手!B5)</f>
        <v>瀬戸A</v>
      </c>
      <c r="AA6" s="137">
        <f>IF(選手!C5="","",選手!C5)</f>
        <v>4</v>
      </c>
      <c r="AB6" s="138" t="str">
        <f>IF(選手!D5="","",選手!D5)</f>
        <v>森竹 結衣</v>
      </c>
      <c r="AC6" s="137" t="str">
        <f>IF(選手!E5="","",選手!E5)</f>
        <v>女</v>
      </c>
      <c r="AD6" s="139">
        <f>記録!S5</f>
        <v>0</v>
      </c>
      <c r="AE6" s="138">
        <f>記録!S4</f>
        <v>0.1</v>
      </c>
      <c r="AF6" s="138">
        <f>AG6+COUNTIF(AG3:AG6,AG6)-1</f>
        <v>4</v>
      </c>
      <c r="AG6" s="138">
        <f t="shared" si="11"/>
        <v>1</v>
      </c>
    </row>
    <row r="7" spans="2:33" x14ac:dyDescent="0.75">
      <c r="B7" s="115">
        <v>5</v>
      </c>
      <c r="C7" s="130">
        <f t="shared" si="0"/>
        <v>1</v>
      </c>
      <c r="D7" s="131" t="str">
        <f t="shared" si="1"/>
        <v>瀬戸B</v>
      </c>
      <c r="E7" s="130">
        <f t="shared" si="2"/>
        <v>5</v>
      </c>
      <c r="F7" s="131" t="str">
        <f t="shared" si="3"/>
        <v>伊藤 寿邦</v>
      </c>
      <c r="G7" s="130" t="str">
        <f t="shared" si="4"/>
        <v>男</v>
      </c>
      <c r="H7" s="132">
        <f t="shared" si="5"/>
        <v>0</v>
      </c>
      <c r="I7" s="133">
        <f t="shared" si="12"/>
        <v>7</v>
      </c>
      <c r="J7" s="133" t="str">
        <f t="shared" si="13"/>
        <v/>
      </c>
      <c r="L7" s="134">
        <f t="shared" si="14"/>
        <v>1</v>
      </c>
      <c r="M7" s="135" t="str">
        <f t="shared" si="15"/>
        <v>西春日井A</v>
      </c>
      <c r="N7" s="134">
        <f t="shared" si="6"/>
        <v>9</v>
      </c>
      <c r="O7" s="136" t="str">
        <f t="shared" si="16"/>
        <v>丹羽 泰生</v>
      </c>
      <c r="P7" s="132">
        <f t="shared" si="17"/>
        <v>0</v>
      </c>
      <c r="Q7" s="134">
        <f t="shared" si="18"/>
        <v>0.1</v>
      </c>
      <c r="S7" s="134">
        <f t="shared" si="19"/>
        <v>1</v>
      </c>
      <c r="T7" s="135" t="str">
        <f t="shared" si="7"/>
        <v>西春日井A</v>
      </c>
      <c r="U7" s="134">
        <f t="shared" si="8"/>
        <v>11</v>
      </c>
      <c r="V7" s="136" t="str">
        <f t="shared" si="20"/>
        <v>村瀬 沙織</v>
      </c>
      <c r="W7" s="132">
        <f t="shared" si="9"/>
        <v>0</v>
      </c>
      <c r="X7" s="134">
        <f t="shared" si="10"/>
        <v>0.1</v>
      </c>
      <c r="Z7" s="137" t="str">
        <f>IF(選手!B6="","",選手!B6)</f>
        <v>瀬戸B</v>
      </c>
      <c r="AA7" s="137">
        <f>IF(選手!C6="","",選手!C6)</f>
        <v>5</v>
      </c>
      <c r="AB7" s="138" t="str">
        <f>IF(選手!D6="","",選手!D6)</f>
        <v>伊藤 寿邦</v>
      </c>
      <c r="AC7" s="137" t="str">
        <f>IF(選手!E6="","",選手!E6)</f>
        <v>男</v>
      </c>
      <c r="AD7" s="139">
        <f>記録!R5</f>
        <v>0</v>
      </c>
      <c r="AE7" s="138">
        <f>記録!R4</f>
        <v>0.1</v>
      </c>
      <c r="AF7" s="138">
        <f>AG7+COUNTIF(AG3:AG7,AG7)-1</f>
        <v>5</v>
      </c>
      <c r="AG7" s="138">
        <f t="shared" si="11"/>
        <v>1</v>
      </c>
    </row>
    <row r="8" spans="2:33" x14ac:dyDescent="0.75">
      <c r="B8" s="115">
        <v>6</v>
      </c>
      <c r="C8" s="130">
        <f t="shared" si="0"/>
        <v>1</v>
      </c>
      <c r="D8" s="131" t="str">
        <f t="shared" si="1"/>
        <v>瀬戸B</v>
      </c>
      <c r="E8" s="130">
        <f t="shared" si="2"/>
        <v>6</v>
      </c>
      <c r="F8" s="131" t="str">
        <f t="shared" si="3"/>
        <v>小林 都</v>
      </c>
      <c r="G8" s="130" t="str">
        <f t="shared" si="4"/>
        <v>女</v>
      </c>
      <c r="H8" s="132">
        <f t="shared" si="5"/>
        <v>0</v>
      </c>
      <c r="I8" s="133" t="str">
        <f t="shared" si="12"/>
        <v/>
      </c>
      <c r="J8" s="133">
        <f t="shared" si="13"/>
        <v>8</v>
      </c>
      <c r="L8" s="134">
        <f t="shared" si="14"/>
        <v>1</v>
      </c>
      <c r="M8" s="135" t="str">
        <f t="shared" si="15"/>
        <v>西春日井A</v>
      </c>
      <c r="N8" s="134">
        <f t="shared" si="6"/>
        <v>10</v>
      </c>
      <c r="O8" s="136" t="str">
        <f t="shared" si="16"/>
        <v>大槻 成実</v>
      </c>
      <c r="P8" s="132">
        <f t="shared" si="17"/>
        <v>0</v>
      </c>
      <c r="Q8" s="134">
        <f t="shared" si="18"/>
        <v>0.1</v>
      </c>
      <c r="S8" s="134">
        <f t="shared" si="19"/>
        <v>1</v>
      </c>
      <c r="T8" s="135" t="str">
        <f t="shared" si="7"/>
        <v>西春日井B</v>
      </c>
      <c r="U8" s="134">
        <f t="shared" si="8"/>
        <v>14</v>
      </c>
      <c r="V8" s="136" t="str">
        <f t="shared" si="20"/>
        <v>渡邉 由美子</v>
      </c>
      <c r="W8" s="132">
        <f t="shared" si="9"/>
        <v>0</v>
      </c>
      <c r="X8" s="134">
        <f t="shared" si="10"/>
        <v>0.1</v>
      </c>
      <c r="Z8" s="137" t="str">
        <f>IF(選手!B7="","",選手!B7)</f>
        <v>瀬戸B</v>
      </c>
      <c r="AA8" s="137">
        <f>IF(選手!C7="","",選手!C7)</f>
        <v>6</v>
      </c>
      <c r="AB8" s="138" t="str">
        <f>IF(選手!D7="","",選手!D7)</f>
        <v>小林 都</v>
      </c>
      <c r="AC8" s="137" t="str">
        <f>IF(選手!E7="","",選手!E7)</f>
        <v>女</v>
      </c>
      <c r="AD8" s="139">
        <f>記録!Q5</f>
        <v>0</v>
      </c>
      <c r="AE8" s="138">
        <f>記録!Q4</f>
        <v>0.1</v>
      </c>
      <c r="AF8" s="138">
        <f>AG8+COUNTIF(AG3:AG8,AG8)-1</f>
        <v>6</v>
      </c>
      <c r="AG8" s="138">
        <f t="shared" si="11"/>
        <v>1</v>
      </c>
    </row>
    <row r="9" spans="2:33" x14ac:dyDescent="0.75">
      <c r="B9" s="115">
        <v>7</v>
      </c>
      <c r="C9" s="130">
        <f t="shared" si="0"/>
        <v>1</v>
      </c>
      <c r="D9" s="131" t="str">
        <f t="shared" si="1"/>
        <v>瀬戸B</v>
      </c>
      <c r="E9" s="130">
        <f t="shared" si="2"/>
        <v>7</v>
      </c>
      <c r="F9" s="131" t="str">
        <f t="shared" si="3"/>
        <v>瀬山 博子</v>
      </c>
      <c r="G9" s="130" t="str">
        <f t="shared" si="4"/>
        <v>女</v>
      </c>
      <c r="H9" s="132">
        <f t="shared" si="5"/>
        <v>0</v>
      </c>
      <c r="I9" s="133" t="str">
        <f t="shared" si="12"/>
        <v/>
      </c>
      <c r="J9" s="133">
        <f t="shared" si="13"/>
        <v>9</v>
      </c>
      <c r="L9" s="134">
        <f t="shared" si="14"/>
        <v>1</v>
      </c>
      <c r="M9" s="135" t="str">
        <f t="shared" si="15"/>
        <v>西春日井A</v>
      </c>
      <c r="N9" s="134">
        <f t="shared" si="6"/>
        <v>12</v>
      </c>
      <c r="O9" s="136" t="str">
        <f t="shared" si="16"/>
        <v>加藤 忠人</v>
      </c>
      <c r="P9" s="132">
        <f t="shared" si="17"/>
        <v>0</v>
      </c>
      <c r="Q9" s="134">
        <f t="shared" si="18"/>
        <v>0.1</v>
      </c>
      <c r="S9" s="134">
        <f t="shared" si="19"/>
        <v>1</v>
      </c>
      <c r="T9" s="135" t="str">
        <f t="shared" si="7"/>
        <v>西春日井B</v>
      </c>
      <c r="U9" s="134">
        <f t="shared" si="8"/>
        <v>16</v>
      </c>
      <c r="V9" s="136" t="str">
        <f t="shared" si="20"/>
        <v>荒川 花子</v>
      </c>
      <c r="W9" s="132">
        <f t="shared" si="9"/>
        <v>0</v>
      </c>
      <c r="X9" s="134">
        <f t="shared" si="10"/>
        <v>0.1</v>
      </c>
      <c r="Z9" s="137" t="str">
        <f>IF(選手!B8="","",選手!B8)</f>
        <v>瀬戸B</v>
      </c>
      <c r="AA9" s="137">
        <f>IF(選手!C8="","",選手!C8)</f>
        <v>7</v>
      </c>
      <c r="AB9" s="138" t="str">
        <f>IF(選手!D8="","",選手!D8)</f>
        <v>瀬山 博子</v>
      </c>
      <c r="AC9" s="137" t="str">
        <f>IF(選手!E8="","",選手!E8)</f>
        <v>女</v>
      </c>
      <c r="AD9" s="139">
        <f>記録!P5</f>
        <v>0</v>
      </c>
      <c r="AE9" s="138">
        <f>記録!P4</f>
        <v>0.1</v>
      </c>
      <c r="AF9" s="138">
        <f>AG9+COUNTIF(AG3:AG9,AG9)-1</f>
        <v>7</v>
      </c>
      <c r="AG9" s="138">
        <f t="shared" si="11"/>
        <v>1</v>
      </c>
    </row>
    <row r="10" spans="2:33" x14ac:dyDescent="0.75">
      <c r="B10" s="115">
        <v>8</v>
      </c>
      <c r="C10" s="130">
        <f t="shared" si="0"/>
        <v>1</v>
      </c>
      <c r="D10" s="131" t="str">
        <f t="shared" si="1"/>
        <v>瀬戸B</v>
      </c>
      <c r="E10" s="130">
        <f t="shared" si="2"/>
        <v>8</v>
      </c>
      <c r="F10" s="131" t="str">
        <f t="shared" si="3"/>
        <v>加藤 広史</v>
      </c>
      <c r="G10" s="130" t="str">
        <f t="shared" si="4"/>
        <v>男</v>
      </c>
      <c r="H10" s="132">
        <f t="shared" si="5"/>
        <v>0</v>
      </c>
      <c r="I10" s="133">
        <f t="shared" si="12"/>
        <v>10</v>
      </c>
      <c r="J10" s="133" t="str">
        <f t="shared" si="13"/>
        <v/>
      </c>
      <c r="L10" s="134">
        <f t="shared" si="14"/>
        <v>1</v>
      </c>
      <c r="M10" s="135" t="str">
        <f t="shared" si="15"/>
        <v>西春日井B</v>
      </c>
      <c r="N10" s="134">
        <f t="shared" si="6"/>
        <v>13</v>
      </c>
      <c r="O10" s="136" t="str">
        <f t="shared" si="16"/>
        <v>北崎 良治</v>
      </c>
      <c r="P10" s="132">
        <f t="shared" si="17"/>
        <v>0</v>
      </c>
      <c r="Q10" s="134">
        <f t="shared" si="18"/>
        <v>0.1</v>
      </c>
      <c r="S10" s="134">
        <f t="shared" si="19"/>
        <v>1</v>
      </c>
      <c r="T10" s="135" t="str">
        <f t="shared" si="7"/>
        <v>尾張旭B</v>
      </c>
      <c r="U10" s="134">
        <f t="shared" si="8"/>
        <v>25</v>
      </c>
      <c r="V10" s="136" t="str">
        <f t="shared" si="20"/>
        <v>北川 裕希子</v>
      </c>
      <c r="W10" s="132">
        <f t="shared" si="9"/>
        <v>0</v>
      </c>
      <c r="X10" s="134">
        <f t="shared" si="10"/>
        <v>0.1</v>
      </c>
      <c r="Z10" s="137" t="str">
        <f>IF(選手!B9="","",選手!B9)</f>
        <v>瀬戸B</v>
      </c>
      <c r="AA10" s="137">
        <f>IF(選手!C9="","",選手!C9)</f>
        <v>8</v>
      </c>
      <c r="AB10" s="138" t="str">
        <f>IF(選手!D9="","",選手!D9)</f>
        <v>加藤 広史</v>
      </c>
      <c r="AC10" s="137" t="str">
        <f>IF(選手!E9="","",選手!E9)</f>
        <v>男</v>
      </c>
      <c r="AD10" s="139">
        <f>記録!O5</f>
        <v>0</v>
      </c>
      <c r="AE10" s="138">
        <f>記録!O4</f>
        <v>0.1</v>
      </c>
      <c r="AF10" s="138">
        <f>AG10+COUNTIF(AG3:AG10,AG10)-1</f>
        <v>8</v>
      </c>
      <c r="AG10" s="138">
        <f t="shared" si="11"/>
        <v>1</v>
      </c>
    </row>
    <row r="11" spans="2:33" x14ac:dyDescent="0.75">
      <c r="B11" s="115">
        <v>9</v>
      </c>
      <c r="C11" s="130">
        <f t="shared" si="0"/>
        <v>1</v>
      </c>
      <c r="D11" s="131" t="str">
        <f t="shared" si="1"/>
        <v>西春日井A</v>
      </c>
      <c r="E11" s="130">
        <f t="shared" si="2"/>
        <v>9</v>
      </c>
      <c r="F11" s="131" t="str">
        <f t="shared" si="3"/>
        <v>丹羽 泰生</v>
      </c>
      <c r="G11" s="130" t="str">
        <f t="shared" si="4"/>
        <v>男</v>
      </c>
      <c r="H11" s="132">
        <f t="shared" si="5"/>
        <v>0</v>
      </c>
      <c r="I11" s="133">
        <f t="shared" si="12"/>
        <v>11</v>
      </c>
      <c r="J11" s="133" t="str">
        <f t="shared" si="13"/>
        <v/>
      </c>
      <c r="L11" s="134">
        <f t="shared" si="14"/>
        <v>1</v>
      </c>
      <c r="M11" s="135" t="str">
        <f t="shared" si="15"/>
        <v>西春日井B</v>
      </c>
      <c r="N11" s="134">
        <f t="shared" si="6"/>
        <v>15</v>
      </c>
      <c r="O11" s="136" t="str">
        <f t="shared" si="16"/>
        <v>杉原 伸哉</v>
      </c>
      <c r="P11" s="132">
        <f t="shared" si="17"/>
        <v>0</v>
      </c>
      <c r="Q11" s="134">
        <f t="shared" si="18"/>
        <v>0.1</v>
      </c>
      <c r="S11" s="134">
        <f t="shared" si="19"/>
        <v>1</v>
      </c>
      <c r="T11" s="135" t="str">
        <f t="shared" si="7"/>
        <v>尾張旭B</v>
      </c>
      <c r="U11" s="134">
        <f t="shared" si="8"/>
        <v>26</v>
      </c>
      <c r="V11" s="136" t="str">
        <f t="shared" si="20"/>
        <v>安達 初枝</v>
      </c>
      <c r="W11" s="132">
        <f t="shared" si="9"/>
        <v>0</v>
      </c>
      <c r="X11" s="134">
        <f t="shared" si="10"/>
        <v>0.1</v>
      </c>
      <c r="Z11" s="137" t="str">
        <f>IF(選手!B10="","",選手!B10)</f>
        <v>西春日井A</v>
      </c>
      <c r="AA11" s="137">
        <f>IF(選手!C10="","",選手!C10)</f>
        <v>9</v>
      </c>
      <c r="AB11" s="138" t="str">
        <f>IF(選手!D10="","",選手!D10)</f>
        <v>丹羽 泰生</v>
      </c>
      <c r="AC11" s="137" t="str">
        <f>IF(選手!E10="","",選手!E10)</f>
        <v>男</v>
      </c>
      <c r="AD11" s="139">
        <f>記録!N5</f>
        <v>0</v>
      </c>
      <c r="AE11" s="138">
        <f>記録!N4</f>
        <v>0.1</v>
      </c>
      <c r="AF11" s="138">
        <f>AG11+COUNTIF(AG3:AG11,AG11)-1</f>
        <v>9</v>
      </c>
      <c r="AG11" s="138">
        <f t="shared" si="11"/>
        <v>1</v>
      </c>
    </row>
    <row r="12" spans="2:33" x14ac:dyDescent="0.75">
      <c r="B12" s="115">
        <v>10</v>
      </c>
      <c r="C12" s="130">
        <f t="shared" si="0"/>
        <v>1</v>
      </c>
      <c r="D12" s="131" t="str">
        <f t="shared" si="1"/>
        <v>西春日井A</v>
      </c>
      <c r="E12" s="130">
        <f t="shared" si="2"/>
        <v>10</v>
      </c>
      <c r="F12" s="131" t="str">
        <f t="shared" si="3"/>
        <v>大槻 成実</v>
      </c>
      <c r="G12" s="130" t="str">
        <f t="shared" si="4"/>
        <v>男</v>
      </c>
      <c r="H12" s="132">
        <f t="shared" si="5"/>
        <v>0</v>
      </c>
      <c r="I12" s="133">
        <f t="shared" si="12"/>
        <v>12</v>
      </c>
      <c r="J12" s="133" t="str">
        <f t="shared" si="13"/>
        <v/>
      </c>
      <c r="L12" s="134">
        <f t="shared" si="14"/>
        <v>1</v>
      </c>
      <c r="M12" s="135" t="str">
        <f t="shared" si="15"/>
        <v>春日井A</v>
      </c>
      <c r="N12" s="134">
        <f t="shared" si="6"/>
        <v>17</v>
      </c>
      <c r="O12" s="136" t="str">
        <f t="shared" si="16"/>
        <v>小川 久生</v>
      </c>
      <c r="P12" s="132">
        <f t="shared" si="17"/>
        <v>0</v>
      </c>
      <c r="Q12" s="134">
        <f t="shared" si="18"/>
        <v>0.1</v>
      </c>
      <c r="S12" s="134">
        <f t="shared" si="19"/>
        <v>1</v>
      </c>
      <c r="T12" s="135" t="str">
        <f t="shared" si="7"/>
        <v>尾張旭B</v>
      </c>
      <c r="U12" s="134">
        <f t="shared" si="8"/>
        <v>27</v>
      </c>
      <c r="V12" s="136" t="str">
        <f t="shared" si="20"/>
        <v>高田 優子</v>
      </c>
      <c r="W12" s="132">
        <f t="shared" si="9"/>
        <v>0</v>
      </c>
      <c r="X12" s="134">
        <f t="shared" si="10"/>
        <v>0.1</v>
      </c>
      <c r="Z12" s="137" t="str">
        <f>IF(選手!B11="","",選手!B11)</f>
        <v>西春日井A</v>
      </c>
      <c r="AA12" s="137">
        <f>IF(選手!C11="","",選手!C11)</f>
        <v>10</v>
      </c>
      <c r="AB12" s="138" t="str">
        <f>IF(選手!D11="","",選手!D11)</f>
        <v>大槻 成実</v>
      </c>
      <c r="AC12" s="137" t="str">
        <f>IF(選手!E11="","",選手!E11)</f>
        <v>男</v>
      </c>
      <c r="AD12" s="139">
        <f>記録!M5</f>
        <v>0</v>
      </c>
      <c r="AE12" s="138">
        <f>記録!M4</f>
        <v>0.1</v>
      </c>
      <c r="AF12" s="138">
        <f>AG12+COUNTIF(AG3:AG12,AG12)-1</f>
        <v>10</v>
      </c>
      <c r="AG12" s="138">
        <f t="shared" si="11"/>
        <v>1</v>
      </c>
    </row>
    <row r="13" spans="2:33" x14ac:dyDescent="0.75">
      <c r="B13" s="115">
        <v>11</v>
      </c>
      <c r="C13" s="130">
        <f t="shared" si="0"/>
        <v>1</v>
      </c>
      <c r="D13" s="131" t="str">
        <f t="shared" si="1"/>
        <v>西春日井A</v>
      </c>
      <c r="E13" s="130">
        <f t="shared" si="2"/>
        <v>11</v>
      </c>
      <c r="F13" s="131" t="str">
        <f t="shared" si="3"/>
        <v>村瀬 沙織</v>
      </c>
      <c r="G13" s="130" t="str">
        <f t="shared" si="4"/>
        <v>女</v>
      </c>
      <c r="H13" s="132">
        <f t="shared" si="5"/>
        <v>0</v>
      </c>
      <c r="I13" s="133" t="str">
        <f t="shared" si="12"/>
        <v/>
      </c>
      <c r="J13" s="133">
        <f t="shared" si="13"/>
        <v>13</v>
      </c>
      <c r="L13" s="134">
        <f t="shared" si="14"/>
        <v>1</v>
      </c>
      <c r="M13" s="135" t="str">
        <f t="shared" si="15"/>
        <v>春日井A</v>
      </c>
      <c r="N13" s="134">
        <f t="shared" si="6"/>
        <v>18</v>
      </c>
      <c r="O13" s="136" t="str">
        <f t="shared" si="16"/>
        <v>阿部 健二郞</v>
      </c>
      <c r="P13" s="132">
        <f t="shared" si="17"/>
        <v>0</v>
      </c>
      <c r="Q13" s="134">
        <f t="shared" si="18"/>
        <v>0.1</v>
      </c>
      <c r="S13" s="134">
        <f t="shared" si="19"/>
        <v>1</v>
      </c>
      <c r="T13" s="135" t="str">
        <f t="shared" si="7"/>
        <v>尾張旭B</v>
      </c>
      <c r="U13" s="134">
        <f t="shared" si="8"/>
        <v>28</v>
      </c>
      <c r="V13" s="136" t="str">
        <f t="shared" si="20"/>
        <v>田中 沙紀子</v>
      </c>
      <c r="W13" s="132">
        <f t="shared" si="9"/>
        <v>0</v>
      </c>
      <c r="X13" s="134">
        <f t="shared" si="10"/>
        <v>0.1</v>
      </c>
      <c r="Z13" s="137" t="str">
        <f>IF(選手!B12="","",選手!B12)</f>
        <v>西春日井A</v>
      </c>
      <c r="AA13" s="137">
        <f>IF(選手!C12="","",選手!C12)</f>
        <v>11</v>
      </c>
      <c r="AB13" s="138" t="str">
        <f>IF(選手!D12="","",選手!D12)</f>
        <v>村瀬 沙織</v>
      </c>
      <c r="AC13" s="137" t="str">
        <f>IF(選手!E12="","",選手!E12)</f>
        <v>女</v>
      </c>
      <c r="AD13" s="139">
        <f>記録!L5</f>
        <v>0</v>
      </c>
      <c r="AE13" s="138">
        <f>記録!L4</f>
        <v>0.1</v>
      </c>
      <c r="AF13" s="138">
        <f>AG13+COUNTIF(AG3:AG13,AG13)-1</f>
        <v>11</v>
      </c>
      <c r="AG13" s="138">
        <f t="shared" si="11"/>
        <v>1</v>
      </c>
    </row>
    <row r="14" spans="2:33" x14ac:dyDescent="0.75">
      <c r="B14" s="115">
        <v>12</v>
      </c>
      <c r="C14" s="130">
        <f t="shared" si="0"/>
        <v>1</v>
      </c>
      <c r="D14" s="131" t="str">
        <f t="shared" si="1"/>
        <v>西春日井A</v>
      </c>
      <c r="E14" s="130">
        <f t="shared" si="2"/>
        <v>12</v>
      </c>
      <c r="F14" s="131" t="str">
        <f t="shared" si="3"/>
        <v>加藤 忠人</v>
      </c>
      <c r="G14" s="130" t="str">
        <f t="shared" si="4"/>
        <v>男</v>
      </c>
      <c r="H14" s="132">
        <f t="shared" si="5"/>
        <v>0</v>
      </c>
      <c r="I14" s="133">
        <f t="shared" si="12"/>
        <v>14</v>
      </c>
      <c r="J14" s="133" t="str">
        <f t="shared" si="13"/>
        <v/>
      </c>
      <c r="L14" s="134">
        <f t="shared" si="14"/>
        <v>1</v>
      </c>
      <c r="M14" s="135" t="str">
        <f t="shared" si="15"/>
        <v>春日井A</v>
      </c>
      <c r="N14" s="134">
        <f t="shared" si="6"/>
        <v>19</v>
      </c>
      <c r="O14" s="136" t="str">
        <f t="shared" si="16"/>
        <v>玉野 正明</v>
      </c>
      <c r="P14" s="132">
        <f t="shared" si="17"/>
        <v>0</v>
      </c>
      <c r="Q14" s="134">
        <f t="shared" si="18"/>
        <v>0.1</v>
      </c>
      <c r="S14" s="134">
        <f t="shared" si="19"/>
        <v>1</v>
      </c>
      <c r="T14" s="135" t="str">
        <f t="shared" si="7"/>
        <v>日進B</v>
      </c>
      <c r="U14" s="134">
        <f t="shared" si="8"/>
        <v>33</v>
      </c>
      <c r="V14" s="136" t="str">
        <f t="shared" si="20"/>
        <v>三田村 静子</v>
      </c>
      <c r="W14" s="132">
        <f t="shared" si="9"/>
        <v>0</v>
      </c>
      <c r="X14" s="134">
        <f t="shared" si="10"/>
        <v>0.1</v>
      </c>
      <c r="Z14" s="137" t="str">
        <f>IF(選手!B13="","",選手!B13)</f>
        <v>西春日井A</v>
      </c>
      <c r="AA14" s="137">
        <f>IF(選手!C13="","",選手!C13)</f>
        <v>12</v>
      </c>
      <c r="AB14" s="138" t="str">
        <f>IF(選手!D13="","",選手!D13)</f>
        <v>加藤 忠人</v>
      </c>
      <c r="AC14" s="137" t="str">
        <f>IF(選手!E13="","",選手!E13)</f>
        <v>男</v>
      </c>
      <c r="AD14" s="139">
        <f>記録!K5</f>
        <v>0</v>
      </c>
      <c r="AE14" s="138">
        <f>記録!K4</f>
        <v>0.1</v>
      </c>
      <c r="AF14" s="138">
        <f>AG14+COUNTIF(AG3:AG14,AG14)-1</f>
        <v>12</v>
      </c>
      <c r="AG14" s="138">
        <f t="shared" si="11"/>
        <v>1</v>
      </c>
    </row>
    <row r="15" spans="2:33" x14ac:dyDescent="0.75">
      <c r="B15" s="115">
        <v>13</v>
      </c>
      <c r="C15" s="130">
        <f t="shared" si="0"/>
        <v>1</v>
      </c>
      <c r="D15" s="131" t="str">
        <f t="shared" si="1"/>
        <v>西春日井B</v>
      </c>
      <c r="E15" s="130">
        <f t="shared" si="2"/>
        <v>13</v>
      </c>
      <c r="F15" s="131" t="str">
        <f t="shared" si="3"/>
        <v>北崎 良治</v>
      </c>
      <c r="G15" s="130" t="str">
        <f t="shared" si="4"/>
        <v>男</v>
      </c>
      <c r="H15" s="132">
        <f t="shared" si="5"/>
        <v>0</v>
      </c>
      <c r="I15" s="133">
        <f t="shared" si="12"/>
        <v>15</v>
      </c>
      <c r="J15" s="133" t="str">
        <f t="shared" si="13"/>
        <v/>
      </c>
      <c r="L15" s="134">
        <f t="shared" si="14"/>
        <v>1</v>
      </c>
      <c r="M15" s="135" t="str">
        <f t="shared" si="15"/>
        <v>春日井A</v>
      </c>
      <c r="N15" s="134">
        <f t="shared" si="6"/>
        <v>20</v>
      </c>
      <c r="O15" s="136" t="str">
        <f t="shared" si="16"/>
        <v>杉山 武</v>
      </c>
      <c r="P15" s="132">
        <f t="shared" si="17"/>
        <v>0</v>
      </c>
      <c r="Q15" s="134">
        <f t="shared" si="18"/>
        <v>0.1</v>
      </c>
      <c r="S15" s="134">
        <f t="shared" si="19"/>
        <v>1</v>
      </c>
      <c r="T15" s="135" t="str">
        <f t="shared" si="7"/>
        <v>日進B</v>
      </c>
      <c r="U15" s="134">
        <f t="shared" si="8"/>
        <v>34</v>
      </c>
      <c r="V15" s="136" t="str">
        <f t="shared" si="20"/>
        <v>浅井 明美</v>
      </c>
      <c r="W15" s="132">
        <f t="shared" si="9"/>
        <v>0</v>
      </c>
      <c r="X15" s="134">
        <f t="shared" si="10"/>
        <v>0.1</v>
      </c>
      <c r="Z15" s="137" t="str">
        <f>IF(選手!B14="","",選手!B14)</f>
        <v>西春日井B</v>
      </c>
      <c r="AA15" s="137">
        <f>IF(選手!C14="","",選手!C14)</f>
        <v>13</v>
      </c>
      <c r="AB15" s="138" t="str">
        <f>IF(選手!D14="","",選手!D14)</f>
        <v>北崎 良治</v>
      </c>
      <c r="AC15" s="137" t="str">
        <f>IF(選手!E14="","",選手!E14)</f>
        <v>男</v>
      </c>
      <c r="AD15" s="139">
        <f>記録!J5</f>
        <v>0</v>
      </c>
      <c r="AE15" s="138">
        <f>記録!J4</f>
        <v>0.1</v>
      </c>
      <c r="AF15" s="138">
        <f>AG15+COUNTIF(AG3:AG15,AG15)-1</f>
        <v>13</v>
      </c>
      <c r="AG15" s="138">
        <f t="shared" si="11"/>
        <v>1</v>
      </c>
    </row>
    <row r="16" spans="2:33" x14ac:dyDescent="0.75">
      <c r="B16" s="115">
        <v>14</v>
      </c>
      <c r="C16" s="130">
        <f t="shared" si="0"/>
        <v>1</v>
      </c>
      <c r="D16" s="131" t="str">
        <f t="shared" si="1"/>
        <v>西春日井B</v>
      </c>
      <c r="E16" s="130">
        <f t="shared" si="2"/>
        <v>14</v>
      </c>
      <c r="F16" s="131" t="str">
        <f t="shared" si="3"/>
        <v>渡邉 由美子</v>
      </c>
      <c r="G16" s="130" t="str">
        <f t="shared" si="4"/>
        <v>女</v>
      </c>
      <c r="H16" s="132">
        <f t="shared" si="5"/>
        <v>0</v>
      </c>
      <c r="I16" s="133" t="str">
        <f t="shared" si="12"/>
        <v/>
      </c>
      <c r="J16" s="133">
        <f t="shared" si="13"/>
        <v>16</v>
      </c>
      <c r="L16" s="134">
        <f t="shared" si="14"/>
        <v>1</v>
      </c>
      <c r="M16" s="135" t="str">
        <f t="shared" si="15"/>
        <v>尾張旭A</v>
      </c>
      <c r="N16" s="134">
        <f t="shared" si="6"/>
        <v>21</v>
      </c>
      <c r="O16" s="136" t="str">
        <f t="shared" si="16"/>
        <v>大竹 誠</v>
      </c>
      <c r="P16" s="132">
        <f t="shared" si="17"/>
        <v>0</v>
      </c>
      <c r="Q16" s="134">
        <f t="shared" si="18"/>
        <v>0.1</v>
      </c>
      <c r="S16" s="134">
        <f t="shared" si="19"/>
        <v>1</v>
      </c>
      <c r="T16" s="135" t="str">
        <f t="shared" si="7"/>
        <v>日進B</v>
      </c>
      <c r="U16" s="134">
        <f t="shared" si="8"/>
        <v>35</v>
      </c>
      <c r="V16" s="136" t="str">
        <f t="shared" si="20"/>
        <v>谷口 洋子</v>
      </c>
      <c r="W16" s="132">
        <f t="shared" si="9"/>
        <v>0</v>
      </c>
      <c r="X16" s="134">
        <f t="shared" si="10"/>
        <v>0.1</v>
      </c>
      <c r="Z16" s="137" t="str">
        <f>IF(選手!B15="","",選手!B15)</f>
        <v>西春日井B</v>
      </c>
      <c r="AA16" s="137">
        <f>IF(選手!C15="","",選手!C15)</f>
        <v>14</v>
      </c>
      <c r="AB16" s="138" t="str">
        <f>IF(選手!D15="","",選手!D15)</f>
        <v>渡邉 由美子</v>
      </c>
      <c r="AC16" s="137" t="str">
        <f>IF(選手!E15="","",選手!E15)</f>
        <v>女</v>
      </c>
      <c r="AD16" s="139">
        <f>記録!I5</f>
        <v>0</v>
      </c>
      <c r="AE16" s="138">
        <f>記録!I4</f>
        <v>0.1</v>
      </c>
      <c r="AF16" s="138">
        <f>AG16+COUNTIF(AG3:AG16,AG16)-1</f>
        <v>14</v>
      </c>
      <c r="AG16" s="138">
        <f t="shared" si="11"/>
        <v>1</v>
      </c>
    </row>
    <row r="17" spans="2:33" x14ac:dyDescent="0.75">
      <c r="B17" s="115">
        <v>15</v>
      </c>
      <c r="C17" s="130">
        <f t="shared" si="0"/>
        <v>1</v>
      </c>
      <c r="D17" s="131" t="str">
        <f t="shared" si="1"/>
        <v>西春日井B</v>
      </c>
      <c r="E17" s="130">
        <f t="shared" si="2"/>
        <v>15</v>
      </c>
      <c r="F17" s="131" t="str">
        <f t="shared" si="3"/>
        <v>杉原 伸哉</v>
      </c>
      <c r="G17" s="130" t="str">
        <f t="shared" si="4"/>
        <v>男</v>
      </c>
      <c r="H17" s="132">
        <f t="shared" si="5"/>
        <v>0</v>
      </c>
      <c r="I17" s="133">
        <f t="shared" si="12"/>
        <v>17</v>
      </c>
      <c r="J17" s="133" t="str">
        <f t="shared" si="13"/>
        <v/>
      </c>
      <c r="L17" s="134">
        <f t="shared" si="14"/>
        <v>1</v>
      </c>
      <c r="M17" s="135" t="str">
        <f t="shared" si="15"/>
        <v>尾張旭A</v>
      </c>
      <c r="N17" s="134">
        <f t="shared" si="6"/>
        <v>22</v>
      </c>
      <c r="O17" s="136" t="str">
        <f t="shared" si="16"/>
        <v>阿知波 正</v>
      </c>
      <c r="P17" s="132">
        <f t="shared" si="17"/>
        <v>0</v>
      </c>
      <c r="Q17" s="134">
        <f t="shared" si="18"/>
        <v>0.1</v>
      </c>
      <c r="S17" s="134">
        <f t="shared" si="19"/>
        <v>1</v>
      </c>
      <c r="T17" s="135" t="str">
        <f t="shared" si="7"/>
        <v>日進B</v>
      </c>
      <c r="U17" s="134">
        <f t="shared" si="8"/>
        <v>36</v>
      </c>
      <c r="V17" s="136" t="str">
        <f t="shared" si="20"/>
        <v>赤塚 正子</v>
      </c>
      <c r="W17" s="132">
        <f t="shared" si="9"/>
        <v>0</v>
      </c>
      <c r="X17" s="134">
        <f t="shared" si="10"/>
        <v>0.1</v>
      </c>
      <c r="Z17" s="137" t="str">
        <f>IF(選手!B16="","",選手!B16)</f>
        <v>西春日井B</v>
      </c>
      <c r="AA17" s="137">
        <f>IF(選手!C16="","",選手!C16)</f>
        <v>15</v>
      </c>
      <c r="AB17" s="138" t="str">
        <f>IF(選手!D16="","",選手!D16)</f>
        <v>杉原 伸哉</v>
      </c>
      <c r="AC17" s="137" t="str">
        <f>IF(選手!E16="","",選手!E16)</f>
        <v>男</v>
      </c>
      <c r="AD17" s="139">
        <f>記録!H5</f>
        <v>0</v>
      </c>
      <c r="AE17" s="138">
        <f>記録!H4</f>
        <v>0.1</v>
      </c>
      <c r="AF17" s="138">
        <f>AG17+COUNTIF(AG3:AG17,AG17)-1</f>
        <v>15</v>
      </c>
      <c r="AG17" s="138">
        <f t="shared" si="11"/>
        <v>1</v>
      </c>
    </row>
    <row r="18" spans="2:33" x14ac:dyDescent="0.75">
      <c r="B18" s="115">
        <v>16</v>
      </c>
      <c r="C18" s="130">
        <f t="shared" si="0"/>
        <v>1</v>
      </c>
      <c r="D18" s="131" t="str">
        <f t="shared" si="1"/>
        <v>西春日井B</v>
      </c>
      <c r="E18" s="130">
        <f t="shared" si="2"/>
        <v>16</v>
      </c>
      <c r="F18" s="131" t="str">
        <f t="shared" si="3"/>
        <v>荒川 花子</v>
      </c>
      <c r="G18" s="130" t="str">
        <f t="shared" si="4"/>
        <v>女</v>
      </c>
      <c r="H18" s="132">
        <f t="shared" si="5"/>
        <v>0</v>
      </c>
      <c r="I18" s="133" t="str">
        <f t="shared" si="12"/>
        <v/>
      </c>
      <c r="J18" s="133">
        <f t="shared" si="13"/>
        <v>18</v>
      </c>
      <c r="L18" s="134">
        <f t="shared" si="14"/>
        <v>1</v>
      </c>
      <c r="M18" s="135" t="str">
        <f t="shared" si="15"/>
        <v>尾張旭A</v>
      </c>
      <c r="N18" s="134">
        <f t="shared" si="6"/>
        <v>23</v>
      </c>
      <c r="O18" s="136" t="str">
        <f t="shared" si="16"/>
        <v>山田 英治</v>
      </c>
      <c r="P18" s="132">
        <f t="shared" si="17"/>
        <v>0</v>
      </c>
      <c r="Q18" s="134">
        <f t="shared" si="18"/>
        <v>0.1</v>
      </c>
      <c r="S18" s="134">
        <f t="shared" si="19"/>
        <v>1</v>
      </c>
      <c r="T18" s="135" t="str">
        <f t="shared" si="7"/>
        <v>春日井B</v>
      </c>
      <c r="U18" s="134">
        <f t="shared" si="8"/>
        <v>37</v>
      </c>
      <c r="V18" s="136" t="str">
        <f t="shared" si="20"/>
        <v>遠藤 恵美子</v>
      </c>
      <c r="W18" s="132">
        <f t="shared" si="9"/>
        <v>0</v>
      </c>
      <c r="X18" s="134">
        <f t="shared" si="10"/>
        <v>0.1</v>
      </c>
      <c r="Z18" s="137" t="str">
        <f>IF(選手!B17="","",選手!B17)</f>
        <v>西春日井B</v>
      </c>
      <c r="AA18" s="137">
        <f>IF(選手!C17="","",選手!C17)</f>
        <v>16</v>
      </c>
      <c r="AB18" s="138" t="str">
        <f>IF(選手!D17="","",選手!D17)</f>
        <v>荒川 花子</v>
      </c>
      <c r="AC18" s="137" t="str">
        <f>IF(選手!E17="","",選手!E17)</f>
        <v>女</v>
      </c>
      <c r="AD18" s="139">
        <f>記録!G5</f>
        <v>0</v>
      </c>
      <c r="AE18" s="138">
        <f>記録!G4</f>
        <v>0.1</v>
      </c>
      <c r="AF18" s="138">
        <f>AG18+COUNTIF(AG3:AG18,AG18)-1</f>
        <v>16</v>
      </c>
      <c r="AG18" s="138">
        <f t="shared" si="11"/>
        <v>1</v>
      </c>
    </row>
    <row r="19" spans="2:33" x14ac:dyDescent="0.75">
      <c r="B19" s="115">
        <v>17</v>
      </c>
      <c r="C19" s="130">
        <f t="shared" si="0"/>
        <v>1</v>
      </c>
      <c r="D19" s="131" t="str">
        <f t="shared" si="1"/>
        <v>春日井A</v>
      </c>
      <c r="E19" s="130">
        <f t="shared" si="2"/>
        <v>17</v>
      </c>
      <c r="F19" s="131" t="str">
        <f t="shared" si="3"/>
        <v>小川 久生</v>
      </c>
      <c r="G19" s="130" t="str">
        <f t="shared" si="4"/>
        <v>男</v>
      </c>
      <c r="H19" s="132">
        <f t="shared" si="5"/>
        <v>0</v>
      </c>
      <c r="I19" s="133">
        <f t="shared" si="12"/>
        <v>19</v>
      </c>
      <c r="J19" s="133" t="str">
        <f t="shared" si="13"/>
        <v/>
      </c>
      <c r="L19" s="134">
        <f t="shared" si="14"/>
        <v>1</v>
      </c>
      <c r="M19" s="135" t="str">
        <f t="shared" si="15"/>
        <v>尾張旭A</v>
      </c>
      <c r="N19" s="134">
        <f t="shared" si="6"/>
        <v>24</v>
      </c>
      <c r="O19" s="136" t="str">
        <f t="shared" si="16"/>
        <v>西尾 雅司</v>
      </c>
      <c r="P19" s="132">
        <f t="shared" si="17"/>
        <v>0</v>
      </c>
      <c r="Q19" s="134">
        <f t="shared" si="18"/>
        <v>0.1</v>
      </c>
      <c r="S19" s="134">
        <f t="shared" si="19"/>
        <v>1</v>
      </c>
      <c r="T19" s="135" t="str">
        <f t="shared" si="7"/>
        <v>春日井B</v>
      </c>
      <c r="U19" s="134">
        <f t="shared" si="8"/>
        <v>38</v>
      </c>
      <c r="V19" s="136" t="str">
        <f t="shared" si="20"/>
        <v>山口 このみ</v>
      </c>
      <c r="W19" s="132">
        <f t="shared" si="9"/>
        <v>0</v>
      </c>
      <c r="X19" s="134">
        <f t="shared" si="10"/>
        <v>0.1</v>
      </c>
      <c r="Z19" s="137" t="str">
        <f>IF(選手!B18="","",選手!B18)</f>
        <v>春日井A</v>
      </c>
      <c r="AA19" s="137">
        <f>IF(選手!C18="","",選手!C18)</f>
        <v>17</v>
      </c>
      <c r="AB19" s="138" t="str">
        <f>IF(選手!D18="","",選手!D18)</f>
        <v>小川 久生</v>
      </c>
      <c r="AC19" s="137" t="str">
        <f>IF(選手!E18="","",選手!E18)</f>
        <v>男</v>
      </c>
      <c r="AD19" s="139">
        <f>記録!F5</f>
        <v>0</v>
      </c>
      <c r="AE19" s="138">
        <f>記録!F4</f>
        <v>0.1</v>
      </c>
      <c r="AF19" s="138">
        <f>AG19+COUNTIF(AG3:AG19,AG19)-1</f>
        <v>17</v>
      </c>
      <c r="AG19" s="138">
        <f t="shared" si="11"/>
        <v>1</v>
      </c>
    </row>
    <row r="20" spans="2:33" x14ac:dyDescent="0.75">
      <c r="B20" s="115">
        <v>18</v>
      </c>
      <c r="C20" s="130">
        <f t="shared" si="0"/>
        <v>1</v>
      </c>
      <c r="D20" s="131" t="str">
        <f t="shared" si="1"/>
        <v>春日井A</v>
      </c>
      <c r="E20" s="130">
        <f t="shared" si="2"/>
        <v>18</v>
      </c>
      <c r="F20" s="131" t="str">
        <f t="shared" si="3"/>
        <v>阿部 健二郞</v>
      </c>
      <c r="G20" s="130" t="str">
        <f t="shared" si="4"/>
        <v>男</v>
      </c>
      <c r="H20" s="132">
        <f t="shared" si="5"/>
        <v>0</v>
      </c>
      <c r="I20" s="133">
        <f t="shared" si="12"/>
        <v>20</v>
      </c>
      <c r="J20" s="133" t="str">
        <f t="shared" si="13"/>
        <v/>
      </c>
      <c r="L20" s="134">
        <f t="shared" si="14"/>
        <v>1</v>
      </c>
      <c r="M20" s="135" t="str">
        <f t="shared" si="15"/>
        <v>日進A</v>
      </c>
      <c r="N20" s="134">
        <f t="shared" si="6"/>
        <v>29</v>
      </c>
      <c r="O20" s="136" t="str">
        <f t="shared" si="16"/>
        <v>志手 俊二</v>
      </c>
      <c r="P20" s="132">
        <f t="shared" si="17"/>
        <v>0</v>
      </c>
      <c r="Q20" s="134">
        <f t="shared" si="18"/>
        <v>0.1</v>
      </c>
      <c r="S20" s="134">
        <f t="shared" si="19"/>
        <v>1</v>
      </c>
      <c r="T20" s="135" t="str">
        <f t="shared" si="7"/>
        <v>春日井B</v>
      </c>
      <c r="U20" s="134">
        <f t="shared" si="8"/>
        <v>39</v>
      </c>
      <c r="V20" s="136" t="str">
        <f t="shared" si="20"/>
        <v>片桐 志保</v>
      </c>
      <c r="W20" s="132">
        <f t="shared" si="9"/>
        <v>0</v>
      </c>
      <c r="X20" s="134">
        <f t="shared" si="10"/>
        <v>0.1</v>
      </c>
      <c r="Z20" s="137" t="str">
        <f>IF(選手!B19="","",選手!B19)</f>
        <v>春日井A</v>
      </c>
      <c r="AA20" s="137">
        <f>IF(選手!C19="","",選手!C19)</f>
        <v>18</v>
      </c>
      <c r="AB20" s="138" t="str">
        <f>IF(選手!D19="","",選手!D19)</f>
        <v>阿部 健二郞</v>
      </c>
      <c r="AC20" s="137" t="str">
        <f>IF(選手!E19="","",選手!E19)</f>
        <v>男</v>
      </c>
      <c r="AD20" s="139">
        <f>記録!E5</f>
        <v>0</v>
      </c>
      <c r="AE20" s="138">
        <f>記録!E4</f>
        <v>0.1</v>
      </c>
      <c r="AF20" s="138">
        <f>AG20+COUNTIF(AG3:AG20,AG20)-1</f>
        <v>18</v>
      </c>
      <c r="AG20" s="138">
        <f t="shared" si="11"/>
        <v>1</v>
      </c>
    </row>
    <row r="21" spans="2:33" x14ac:dyDescent="0.75">
      <c r="B21" s="115">
        <v>19</v>
      </c>
      <c r="C21" s="130">
        <f t="shared" si="0"/>
        <v>1</v>
      </c>
      <c r="D21" s="131" t="str">
        <f t="shared" si="1"/>
        <v>春日井A</v>
      </c>
      <c r="E21" s="130">
        <f t="shared" si="2"/>
        <v>19</v>
      </c>
      <c r="F21" s="131" t="str">
        <f t="shared" si="3"/>
        <v>玉野 正明</v>
      </c>
      <c r="G21" s="130" t="str">
        <f t="shared" si="4"/>
        <v>男</v>
      </c>
      <c r="H21" s="132">
        <f t="shared" si="5"/>
        <v>0</v>
      </c>
      <c r="I21" s="133">
        <f t="shared" si="12"/>
        <v>21</v>
      </c>
      <c r="J21" s="133" t="str">
        <f t="shared" si="13"/>
        <v/>
      </c>
      <c r="L21" s="134">
        <f t="shared" si="14"/>
        <v>1</v>
      </c>
      <c r="M21" s="135" t="str">
        <f t="shared" si="15"/>
        <v>日進A</v>
      </c>
      <c r="N21" s="134">
        <f t="shared" si="6"/>
        <v>30</v>
      </c>
      <c r="O21" s="136" t="str">
        <f t="shared" si="16"/>
        <v>米田 康介</v>
      </c>
      <c r="P21" s="132">
        <f t="shared" si="17"/>
        <v>0</v>
      </c>
      <c r="Q21" s="134">
        <f t="shared" si="18"/>
        <v>0.1</v>
      </c>
      <c r="S21" s="134">
        <f t="shared" si="19"/>
        <v>1</v>
      </c>
      <c r="T21" s="135" t="str">
        <f t="shared" si="7"/>
        <v>春日井B</v>
      </c>
      <c r="U21" s="134">
        <f t="shared" si="8"/>
        <v>40</v>
      </c>
      <c r="V21" s="136" t="str">
        <f t="shared" si="20"/>
        <v>佃 弘美</v>
      </c>
      <c r="W21" s="132">
        <f t="shared" si="9"/>
        <v>0</v>
      </c>
      <c r="X21" s="134">
        <f t="shared" si="10"/>
        <v>0.1</v>
      </c>
      <c r="Z21" s="137" t="str">
        <f>IF(選手!B20="","",選手!B20)</f>
        <v>春日井A</v>
      </c>
      <c r="AA21" s="137">
        <f>IF(選手!C20="","",選手!C20)</f>
        <v>19</v>
      </c>
      <c r="AB21" s="138" t="str">
        <f>IF(選手!D20="","",選手!D20)</f>
        <v>玉野 正明</v>
      </c>
      <c r="AC21" s="137" t="str">
        <f>IF(選手!E20="","",選手!E20)</f>
        <v>男</v>
      </c>
      <c r="AD21" s="139">
        <f>記録!D5</f>
        <v>0</v>
      </c>
      <c r="AE21" s="138">
        <f>記録!D4</f>
        <v>0.1</v>
      </c>
      <c r="AF21" s="138">
        <f>AG21+COUNTIF(AG3:AG21,AG21)-1</f>
        <v>19</v>
      </c>
      <c r="AG21" s="138">
        <f t="shared" si="11"/>
        <v>1</v>
      </c>
    </row>
    <row r="22" spans="2:33" x14ac:dyDescent="0.75">
      <c r="B22" s="115">
        <v>20</v>
      </c>
      <c r="C22" s="130">
        <f t="shared" si="0"/>
        <v>1</v>
      </c>
      <c r="D22" s="131" t="str">
        <f t="shared" si="1"/>
        <v>春日井A</v>
      </c>
      <c r="E22" s="130">
        <f t="shared" si="2"/>
        <v>20</v>
      </c>
      <c r="F22" s="131" t="str">
        <f t="shared" si="3"/>
        <v>杉山 武</v>
      </c>
      <c r="G22" s="130" t="str">
        <f t="shared" si="4"/>
        <v>男</v>
      </c>
      <c r="H22" s="132">
        <f t="shared" si="5"/>
        <v>0</v>
      </c>
      <c r="I22" s="133">
        <f t="shared" si="12"/>
        <v>22</v>
      </c>
      <c r="J22" s="133" t="str">
        <f t="shared" si="13"/>
        <v/>
      </c>
      <c r="L22" s="134">
        <f t="shared" si="14"/>
        <v>1</v>
      </c>
      <c r="M22" s="140" t="str">
        <f t="shared" si="15"/>
        <v>日進A</v>
      </c>
      <c r="N22" s="141">
        <f t="shared" si="6"/>
        <v>31</v>
      </c>
      <c r="O22" s="142" t="str">
        <f t="shared" si="16"/>
        <v>窪田 達也</v>
      </c>
      <c r="P22" s="143">
        <f t="shared" si="17"/>
        <v>0</v>
      </c>
      <c r="Q22" s="134">
        <f t="shared" si="18"/>
        <v>0.1</v>
      </c>
      <c r="S22" s="134">
        <f t="shared" si="19"/>
        <v>1</v>
      </c>
      <c r="T22" s="140" t="str">
        <f t="shared" si="7"/>
        <v>長久手B</v>
      </c>
      <c r="U22" s="141">
        <f t="shared" si="8"/>
        <v>45</v>
      </c>
      <c r="V22" s="142" t="str">
        <f t="shared" si="20"/>
        <v>山越 一江</v>
      </c>
      <c r="W22" s="143">
        <f t="shared" si="9"/>
        <v>0</v>
      </c>
      <c r="X22" s="134">
        <f t="shared" si="10"/>
        <v>0.1</v>
      </c>
      <c r="Z22" s="137" t="str">
        <f>IF(選手!B21="","",選手!B21)</f>
        <v>春日井A</v>
      </c>
      <c r="AA22" s="137">
        <f>IF(選手!C21="","",選手!C21)</f>
        <v>20</v>
      </c>
      <c r="AB22" s="138" t="str">
        <f>IF(選手!D21="","",選手!D21)</f>
        <v>杉山 武</v>
      </c>
      <c r="AC22" s="137" t="str">
        <f>IF(選手!E21="","",選手!E21)</f>
        <v>男</v>
      </c>
      <c r="AD22" s="139">
        <f>記録!C5</f>
        <v>0</v>
      </c>
      <c r="AE22" s="138">
        <f>記録!C4</f>
        <v>0.1</v>
      </c>
      <c r="AF22" s="138">
        <f>AG22+COUNTIF(AG3:AG22,AG22)-1</f>
        <v>20</v>
      </c>
      <c r="AG22" s="138">
        <f t="shared" si="11"/>
        <v>1</v>
      </c>
    </row>
    <row r="23" spans="2:33" x14ac:dyDescent="0.75">
      <c r="B23" s="115">
        <v>21</v>
      </c>
      <c r="C23" s="130">
        <f t="shared" si="0"/>
        <v>1</v>
      </c>
      <c r="D23" s="131" t="str">
        <f t="shared" si="1"/>
        <v>尾張旭A</v>
      </c>
      <c r="E23" s="130">
        <f t="shared" si="2"/>
        <v>21</v>
      </c>
      <c r="F23" s="131" t="str">
        <f t="shared" si="3"/>
        <v>大竹 誠</v>
      </c>
      <c r="G23" s="130" t="str">
        <f t="shared" si="4"/>
        <v>男</v>
      </c>
      <c r="H23" s="132">
        <f t="shared" si="5"/>
        <v>0</v>
      </c>
      <c r="I23" s="133">
        <f t="shared" si="12"/>
        <v>23</v>
      </c>
      <c r="J23" s="133" t="str">
        <f t="shared" si="13"/>
        <v/>
      </c>
      <c r="L23" s="134">
        <f t="shared" ref="L23:L66" si="21">IF(O23="","",_xlfn.RANK.EQ(Q23,Q:Q))</f>
        <v>1</v>
      </c>
      <c r="M23" s="140" t="str">
        <f t="shared" si="15"/>
        <v>日進A</v>
      </c>
      <c r="N23" s="141">
        <f t="shared" si="6"/>
        <v>32</v>
      </c>
      <c r="O23" s="142" t="str">
        <f t="shared" si="16"/>
        <v>新美 友治</v>
      </c>
      <c r="P23" s="143">
        <f t="shared" si="17"/>
        <v>0</v>
      </c>
      <c r="Q23" s="134">
        <f t="shared" ref="Q23:Q66" si="22">IF(O23="","",INDEX(AE:AE,MATCH(O23,AB:AB,0)))</f>
        <v>0.1</v>
      </c>
      <c r="S23" s="134">
        <f t="shared" ref="S23:S66" si="23">IF(V23="","",_xlfn.RANK.EQ(X23,X:X))</f>
        <v>1</v>
      </c>
      <c r="T23" s="140" t="str">
        <f t="shared" si="7"/>
        <v>長久手B</v>
      </c>
      <c r="U23" s="141">
        <f t="shared" si="8"/>
        <v>46</v>
      </c>
      <c r="V23" s="142" t="str">
        <f t="shared" si="20"/>
        <v>澤田 圭子</v>
      </c>
      <c r="W23" s="143">
        <f t="shared" si="9"/>
        <v>0</v>
      </c>
      <c r="X23" s="134">
        <f t="shared" ref="X23:X66" si="24">IF(V23="","",INDEX(AE:AE,MATCH(V23,AB:AB,0)))</f>
        <v>0.1</v>
      </c>
      <c r="Z23" s="137" t="str">
        <f>IF(選手!G2="","",選手!G2)</f>
        <v>尾張旭A</v>
      </c>
      <c r="AA23" s="137">
        <f>IF(選手!H2="","",選手!H2)</f>
        <v>21</v>
      </c>
      <c r="AB23" s="138" t="str">
        <f>IF(選手!I2="","",選手!I2)</f>
        <v>大竹 誠</v>
      </c>
      <c r="AC23" s="137" t="str">
        <f>IF(選手!J2="","",選手!J2)</f>
        <v>男</v>
      </c>
      <c r="AD23" s="139">
        <f>記録!V23</f>
        <v>0</v>
      </c>
      <c r="AE23" s="138">
        <f>記録!V22</f>
        <v>0.1</v>
      </c>
      <c r="AF23" s="138">
        <f>AG23+COUNTIF(AG3:AG23,AG23)-1</f>
        <v>21</v>
      </c>
      <c r="AG23" s="138">
        <f t="shared" si="11"/>
        <v>1</v>
      </c>
    </row>
    <row r="24" spans="2:33" x14ac:dyDescent="0.75">
      <c r="B24" s="115">
        <v>22</v>
      </c>
      <c r="C24" s="130">
        <f t="shared" si="0"/>
        <v>1</v>
      </c>
      <c r="D24" s="131" t="str">
        <f t="shared" si="1"/>
        <v>尾張旭A</v>
      </c>
      <c r="E24" s="130">
        <f t="shared" si="2"/>
        <v>22</v>
      </c>
      <c r="F24" s="131" t="str">
        <f t="shared" si="3"/>
        <v>阿知波 正</v>
      </c>
      <c r="G24" s="130" t="str">
        <f t="shared" si="4"/>
        <v>男</v>
      </c>
      <c r="H24" s="132">
        <f t="shared" si="5"/>
        <v>0</v>
      </c>
      <c r="I24" s="133">
        <f t="shared" si="12"/>
        <v>24</v>
      </c>
      <c r="J24" s="133" t="str">
        <f t="shared" si="13"/>
        <v/>
      </c>
      <c r="L24" s="134">
        <f t="shared" si="21"/>
        <v>1</v>
      </c>
      <c r="M24" s="140" t="str">
        <f t="shared" si="15"/>
        <v>長久手A</v>
      </c>
      <c r="N24" s="141">
        <f t="shared" si="6"/>
        <v>41</v>
      </c>
      <c r="O24" s="142" t="str">
        <f t="shared" si="16"/>
        <v>柳原 啓宏</v>
      </c>
      <c r="P24" s="143">
        <f t="shared" si="17"/>
        <v>0</v>
      </c>
      <c r="Q24" s="134">
        <f t="shared" si="22"/>
        <v>0.1</v>
      </c>
      <c r="S24" s="134">
        <f t="shared" si="23"/>
        <v>1</v>
      </c>
      <c r="T24" s="140" t="str">
        <f t="shared" si="7"/>
        <v>長久手B</v>
      </c>
      <c r="U24" s="141">
        <f t="shared" si="8"/>
        <v>47</v>
      </c>
      <c r="V24" s="142" t="str">
        <f t="shared" si="20"/>
        <v>水野 三穂</v>
      </c>
      <c r="W24" s="143">
        <f t="shared" si="9"/>
        <v>0</v>
      </c>
      <c r="X24" s="134">
        <f t="shared" si="24"/>
        <v>0.1</v>
      </c>
      <c r="Z24" s="137" t="str">
        <f>IF(選手!G3="","",選手!G3)</f>
        <v>尾張旭A</v>
      </c>
      <c r="AA24" s="137">
        <f>IF(選手!H3="","",選手!H3)</f>
        <v>22</v>
      </c>
      <c r="AB24" s="138" t="str">
        <f>IF(選手!I3="","",選手!I3)</f>
        <v>阿知波 正</v>
      </c>
      <c r="AC24" s="137" t="str">
        <f>IF(選手!J3="","",選手!J3)</f>
        <v>男</v>
      </c>
      <c r="AD24" s="139">
        <f>記録!U23</f>
        <v>0</v>
      </c>
      <c r="AE24" s="138">
        <f>記録!U22</f>
        <v>0.1</v>
      </c>
      <c r="AF24" s="138">
        <f>AG24+COUNTIF(AG3:AG24,AG24)-1</f>
        <v>22</v>
      </c>
      <c r="AG24" s="138">
        <f t="shared" si="11"/>
        <v>1</v>
      </c>
    </row>
    <row r="25" spans="2:33" x14ac:dyDescent="0.75">
      <c r="B25" s="115">
        <v>23</v>
      </c>
      <c r="C25" s="130">
        <f t="shared" si="0"/>
        <v>1</v>
      </c>
      <c r="D25" s="131" t="str">
        <f t="shared" si="1"/>
        <v>尾張旭A</v>
      </c>
      <c r="E25" s="130">
        <f t="shared" si="2"/>
        <v>23</v>
      </c>
      <c r="F25" s="131" t="str">
        <f t="shared" si="3"/>
        <v>山田 英治</v>
      </c>
      <c r="G25" s="130" t="str">
        <f t="shared" si="4"/>
        <v>男</v>
      </c>
      <c r="H25" s="132">
        <f t="shared" si="5"/>
        <v>0</v>
      </c>
      <c r="I25" s="133">
        <f t="shared" si="12"/>
        <v>25</v>
      </c>
      <c r="J25" s="133" t="str">
        <f t="shared" si="13"/>
        <v/>
      </c>
      <c r="L25" s="134">
        <f t="shared" si="21"/>
        <v>1</v>
      </c>
      <c r="M25" s="140" t="str">
        <f t="shared" si="15"/>
        <v>長久手A</v>
      </c>
      <c r="N25" s="141">
        <f t="shared" si="6"/>
        <v>42</v>
      </c>
      <c r="O25" s="142" t="str">
        <f t="shared" si="16"/>
        <v>葛西 裕文</v>
      </c>
      <c r="P25" s="143">
        <f t="shared" si="17"/>
        <v>0</v>
      </c>
      <c r="Q25" s="134">
        <f t="shared" si="22"/>
        <v>0.1</v>
      </c>
      <c r="S25" s="134">
        <f t="shared" si="23"/>
        <v>1</v>
      </c>
      <c r="T25" s="140" t="str">
        <f t="shared" si="7"/>
        <v>長久手B</v>
      </c>
      <c r="U25" s="141">
        <f t="shared" si="8"/>
        <v>48</v>
      </c>
      <c r="V25" s="142" t="str">
        <f t="shared" si="20"/>
        <v>野々垣 奈緒子</v>
      </c>
      <c r="W25" s="143">
        <f t="shared" si="9"/>
        <v>0</v>
      </c>
      <c r="X25" s="134">
        <f t="shared" si="24"/>
        <v>0.1</v>
      </c>
      <c r="Z25" s="137" t="str">
        <f>IF(選手!G4="","",選手!G4)</f>
        <v>尾張旭A</v>
      </c>
      <c r="AA25" s="137">
        <f>IF(選手!H4="","",選手!H4)</f>
        <v>23</v>
      </c>
      <c r="AB25" s="138" t="str">
        <f>IF(選手!I4="","",選手!I4)</f>
        <v>山田 英治</v>
      </c>
      <c r="AC25" s="137" t="str">
        <f>IF(選手!J4="","",選手!J4)</f>
        <v>男</v>
      </c>
      <c r="AD25" s="139">
        <f>記録!T23</f>
        <v>0</v>
      </c>
      <c r="AE25" s="138">
        <f>記録!T22</f>
        <v>0.1</v>
      </c>
      <c r="AF25" s="138">
        <f>AG25+COUNTIF(AG3:AG25,AG25)-1</f>
        <v>23</v>
      </c>
      <c r="AG25" s="138">
        <f t="shared" si="11"/>
        <v>1</v>
      </c>
    </row>
    <row r="26" spans="2:33" x14ac:dyDescent="0.75">
      <c r="B26" s="115">
        <v>24</v>
      </c>
      <c r="C26" s="130">
        <f t="shared" si="0"/>
        <v>1</v>
      </c>
      <c r="D26" s="131" t="str">
        <f t="shared" si="1"/>
        <v>尾張旭A</v>
      </c>
      <c r="E26" s="130">
        <f t="shared" si="2"/>
        <v>24</v>
      </c>
      <c r="F26" s="131" t="str">
        <f>INDEX(AB:AB,MATCH(B26,AF:AF,0))</f>
        <v>西尾 雅司</v>
      </c>
      <c r="G26" s="130" t="str">
        <f t="shared" si="4"/>
        <v>男</v>
      </c>
      <c r="H26" s="132">
        <f t="shared" si="5"/>
        <v>0</v>
      </c>
      <c r="I26" s="133">
        <f t="shared" si="12"/>
        <v>26</v>
      </c>
      <c r="J26" s="133" t="str">
        <f t="shared" si="13"/>
        <v/>
      </c>
      <c r="L26" s="134">
        <f t="shared" si="21"/>
        <v>1</v>
      </c>
      <c r="M26" s="140" t="str">
        <f t="shared" si="15"/>
        <v>長久手A</v>
      </c>
      <c r="N26" s="141">
        <f t="shared" si="6"/>
        <v>43</v>
      </c>
      <c r="O26" s="142" t="str">
        <f t="shared" si="16"/>
        <v>芝田 典久</v>
      </c>
      <c r="P26" s="143">
        <f t="shared" si="17"/>
        <v>0</v>
      </c>
      <c r="Q26" s="134">
        <f t="shared" si="22"/>
        <v>0.1</v>
      </c>
      <c r="S26" s="134">
        <f t="shared" si="23"/>
        <v>1</v>
      </c>
      <c r="T26" s="140" t="str">
        <f t="shared" si="7"/>
        <v>豊明B</v>
      </c>
      <c r="U26" s="141">
        <f t="shared" si="8"/>
        <v>53</v>
      </c>
      <c r="V26" s="142" t="str">
        <f t="shared" si="20"/>
        <v>安藤 雅子</v>
      </c>
      <c r="W26" s="143">
        <f t="shared" si="9"/>
        <v>0</v>
      </c>
      <c r="X26" s="134">
        <f t="shared" si="24"/>
        <v>0.1</v>
      </c>
      <c r="Z26" s="137" t="str">
        <f>IF(選手!G5="","",選手!G5)</f>
        <v>尾張旭A</v>
      </c>
      <c r="AA26" s="137">
        <f>IF(選手!H5="","",選手!H5)</f>
        <v>24</v>
      </c>
      <c r="AB26" s="138" t="str">
        <f>IF(選手!I5="","",選手!I5)</f>
        <v>西尾 雅司</v>
      </c>
      <c r="AC26" s="137" t="str">
        <f>IF(選手!J5="","",選手!J5)</f>
        <v>男</v>
      </c>
      <c r="AD26" s="139">
        <f>記録!S23</f>
        <v>0</v>
      </c>
      <c r="AE26" s="138">
        <f>記録!S22</f>
        <v>0.1</v>
      </c>
      <c r="AF26" s="138">
        <f>AG26+COUNTIF(AG3:AG26,AG26)-1</f>
        <v>24</v>
      </c>
      <c r="AG26" s="138">
        <f t="shared" si="11"/>
        <v>1</v>
      </c>
    </row>
    <row r="27" spans="2:33" x14ac:dyDescent="0.75">
      <c r="B27" s="115">
        <v>25</v>
      </c>
      <c r="C27" s="130">
        <f t="shared" si="0"/>
        <v>1</v>
      </c>
      <c r="D27" s="131" t="str">
        <f t="shared" si="1"/>
        <v>尾張旭B</v>
      </c>
      <c r="E27" s="130">
        <f t="shared" si="2"/>
        <v>25</v>
      </c>
      <c r="F27" s="131" t="str">
        <f t="shared" si="3"/>
        <v>北川 裕希子</v>
      </c>
      <c r="G27" s="130" t="str">
        <f t="shared" si="4"/>
        <v>女</v>
      </c>
      <c r="H27" s="132">
        <f t="shared" si="5"/>
        <v>0</v>
      </c>
      <c r="I27" s="133" t="str">
        <f t="shared" si="12"/>
        <v/>
      </c>
      <c r="J27" s="133">
        <f t="shared" si="13"/>
        <v>27</v>
      </c>
      <c r="L27" s="134">
        <f t="shared" si="21"/>
        <v>1</v>
      </c>
      <c r="M27" s="140" t="str">
        <f t="shared" si="15"/>
        <v>長久手A</v>
      </c>
      <c r="N27" s="141">
        <f t="shared" si="6"/>
        <v>44</v>
      </c>
      <c r="O27" s="142" t="str">
        <f t="shared" si="16"/>
        <v>松井 忠志</v>
      </c>
      <c r="P27" s="143">
        <f t="shared" si="17"/>
        <v>0</v>
      </c>
      <c r="Q27" s="134">
        <f t="shared" si="22"/>
        <v>0.1</v>
      </c>
      <c r="S27" s="134">
        <f t="shared" si="23"/>
        <v>1</v>
      </c>
      <c r="T27" s="140" t="str">
        <f t="shared" si="7"/>
        <v>豊明B</v>
      </c>
      <c r="U27" s="141">
        <f t="shared" si="8"/>
        <v>54</v>
      </c>
      <c r="V27" s="142" t="str">
        <f t="shared" si="20"/>
        <v>青松 未記</v>
      </c>
      <c r="W27" s="143">
        <f t="shared" si="9"/>
        <v>0</v>
      </c>
      <c r="X27" s="134">
        <f t="shared" si="24"/>
        <v>0.1</v>
      </c>
      <c r="Z27" s="137" t="str">
        <f>IF(選手!G6="","",選手!G6)</f>
        <v>尾張旭B</v>
      </c>
      <c r="AA27" s="137">
        <f>IF(選手!H6="","",選手!H6)</f>
        <v>25</v>
      </c>
      <c r="AB27" s="138" t="str">
        <f>IF(選手!I6="","",選手!I6)</f>
        <v>北川 裕希子</v>
      </c>
      <c r="AC27" s="137" t="str">
        <f>IF(選手!J6="","",選手!J6)</f>
        <v>女</v>
      </c>
      <c r="AD27" s="139">
        <f>記録!R23</f>
        <v>0</v>
      </c>
      <c r="AE27" s="138">
        <f>記録!R22</f>
        <v>0.1</v>
      </c>
      <c r="AF27" s="138">
        <f>AG27+COUNTIF(AG3:AG27,AG27)-1</f>
        <v>25</v>
      </c>
      <c r="AG27" s="138">
        <f t="shared" si="11"/>
        <v>1</v>
      </c>
    </row>
    <row r="28" spans="2:33" x14ac:dyDescent="0.75">
      <c r="B28" s="115">
        <v>26</v>
      </c>
      <c r="C28" s="130">
        <f t="shared" si="0"/>
        <v>1</v>
      </c>
      <c r="D28" s="131" t="str">
        <f t="shared" si="1"/>
        <v>尾張旭B</v>
      </c>
      <c r="E28" s="130">
        <f t="shared" si="2"/>
        <v>26</v>
      </c>
      <c r="F28" s="131" t="str">
        <f t="shared" si="3"/>
        <v>安達 初枝</v>
      </c>
      <c r="G28" s="130" t="str">
        <f t="shared" si="4"/>
        <v>女</v>
      </c>
      <c r="H28" s="132">
        <f t="shared" si="5"/>
        <v>0</v>
      </c>
      <c r="I28" s="133" t="str">
        <f t="shared" si="12"/>
        <v/>
      </c>
      <c r="J28" s="133">
        <f t="shared" si="13"/>
        <v>28</v>
      </c>
      <c r="L28" s="134">
        <f t="shared" si="21"/>
        <v>1</v>
      </c>
      <c r="M28" s="140" t="str">
        <f t="shared" si="15"/>
        <v>豊明A</v>
      </c>
      <c r="N28" s="141">
        <f t="shared" si="6"/>
        <v>49</v>
      </c>
      <c r="O28" s="142" t="str">
        <f t="shared" si="16"/>
        <v>榊原 隆一</v>
      </c>
      <c r="P28" s="143">
        <f t="shared" si="17"/>
        <v>0</v>
      </c>
      <c r="Q28" s="134">
        <f t="shared" si="22"/>
        <v>0.1</v>
      </c>
      <c r="S28" s="134">
        <f t="shared" si="23"/>
        <v>1</v>
      </c>
      <c r="T28" s="140" t="str">
        <f t="shared" si="7"/>
        <v>豊明B</v>
      </c>
      <c r="U28" s="141">
        <f t="shared" si="8"/>
        <v>55</v>
      </c>
      <c r="V28" s="142" t="str">
        <f t="shared" si="20"/>
        <v>樋田 良子</v>
      </c>
      <c r="W28" s="143">
        <f t="shared" si="9"/>
        <v>0</v>
      </c>
      <c r="X28" s="134">
        <f t="shared" si="24"/>
        <v>0.1</v>
      </c>
      <c r="Z28" s="137" t="str">
        <f>IF(選手!G7="","",選手!G7)</f>
        <v>尾張旭B</v>
      </c>
      <c r="AA28" s="137">
        <f>IF(選手!H7="","",選手!H7)</f>
        <v>26</v>
      </c>
      <c r="AB28" s="138" t="str">
        <f>IF(選手!I7="","",選手!I7)</f>
        <v>安達 初枝</v>
      </c>
      <c r="AC28" s="137" t="str">
        <f>IF(選手!J7="","",選手!J7)</f>
        <v>女</v>
      </c>
      <c r="AD28" s="139">
        <f>記録!Q23</f>
        <v>0</v>
      </c>
      <c r="AE28" s="138">
        <f>記録!Q22</f>
        <v>0.1</v>
      </c>
      <c r="AF28" s="138">
        <f>AG28+COUNTIF(AG3:AG28,AG28)-1</f>
        <v>26</v>
      </c>
      <c r="AG28" s="138">
        <f t="shared" si="11"/>
        <v>1</v>
      </c>
    </row>
    <row r="29" spans="2:33" x14ac:dyDescent="0.75">
      <c r="B29" s="115">
        <v>27</v>
      </c>
      <c r="C29" s="130">
        <f t="shared" si="0"/>
        <v>1</v>
      </c>
      <c r="D29" s="131" t="str">
        <f t="shared" si="1"/>
        <v>尾張旭B</v>
      </c>
      <c r="E29" s="130">
        <f t="shared" si="2"/>
        <v>27</v>
      </c>
      <c r="F29" s="131" t="str">
        <f t="shared" si="3"/>
        <v>高田 優子</v>
      </c>
      <c r="G29" s="130" t="str">
        <f t="shared" si="4"/>
        <v>女</v>
      </c>
      <c r="H29" s="132">
        <f t="shared" si="5"/>
        <v>0</v>
      </c>
      <c r="I29" s="133" t="str">
        <f t="shared" si="12"/>
        <v/>
      </c>
      <c r="J29" s="133">
        <f t="shared" si="13"/>
        <v>29</v>
      </c>
      <c r="L29" s="134">
        <f t="shared" si="21"/>
        <v>1</v>
      </c>
      <c r="M29" s="140" t="str">
        <f t="shared" si="15"/>
        <v>豊明A</v>
      </c>
      <c r="N29" s="141">
        <f t="shared" si="6"/>
        <v>50</v>
      </c>
      <c r="O29" s="142" t="str">
        <f t="shared" si="16"/>
        <v>堀 隆教</v>
      </c>
      <c r="P29" s="143">
        <f t="shared" si="17"/>
        <v>0</v>
      </c>
      <c r="Q29" s="134">
        <f t="shared" si="22"/>
        <v>0.1</v>
      </c>
      <c r="S29" s="134">
        <f t="shared" si="23"/>
        <v>1</v>
      </c>
      <c r="T29" s="140" t="str">
        <f t="shared" si="7"/>
        <v>豊明B</v>
      </c>
      <c r="U29" s="141">
        <f t="shared" si="8"/>
        <v>56</v>
      </c>
      <c r="V29" s="142" t="str">
        <f t="shared" si="20"/>
        <v>堀井 恵美子</v>
      </c>
      <c r="W29" s="143">
        <f t="shared" si="9"/>
        <v>0</v>
      </c>
      <c r="X29" s="134">
        <f t="shared" si="24"/>
        <v>0.1</v>
      </c>
      <c r="Z29" s="137" t="str">
        <f>IF(選手!G8="","",選手!G8)</f>
        <v>尾張旭B</v>
      </c>
      <c r="AA29" s="137">
        <f>IF(選手!H8="","",選手!H8)</f>
        <v>27</v>
      </c>
      <c r="AB29" s="138" t="str">
        <f>IF(選手!I8="","",選手!I8)</f>
        <v>高田 優子</v>
      </c>
      <c r="AC29" s="137" t="str">
        <f>IF(選手!J8="","",選手!J8)</f>
        <v>女</v>
      </c>
      <c r="AD29" s="139">
        <f>記録!P23</f>
        <v>0</v>
      </c>
      <c r="AE29" s="138">
        <f>記録!P22</f>
        <v>0.1</v>
      </c>
      <c r="AF29" s="138">
        <f>AG29+COUNTIF(AG3:AG29,AG29)-1</f>
        <v>27</v>
      </c>
      <c r="AG29" s="138">
        <f t="shared" si="11"/>
        <v>1</v>
      </c>
    </row>
    <row r="30" spans="2:33" x14ac:dyDescent="0.75">
      <c r="B30" s="115">
        <v>28</v>
      </c>
      <c r="C30" s="130">
        <f t="shared" si="0"/>
        <v>1</v>
      </c>
      <c r="D30" s="131" t="str">
        <f t="shared" si="1"/>
        <v>尾張旭B</v>
      </c>
      <c r="E30" s="130">
        <f t="shared" si="2"/>
        <v>28</v>
      </c>
      <c r="F30" s="131" t="str">
        <f t="shared" si="3"/>
        <v>田中 沙紀子</v>
      </c>
      <c r="G30" s="130" t="str">
        <f t="shared" si="4"/>
        <v>女</v>
      </c>
      <c r="H30" s="132">
        <f t="shared" si="5"/>
        <v>0</v>
      </c>
      <c r="I30" s="133" t="str">
        <f t="shared" si="12"/>
        <v/>
      </c>
      <c r="J30" s="133">
        <f t="shared" si="13"/>
        <v>30</v>
      </c>
      <c r="L30" s="134">
        <f t="shared" si="21"/>
        <v>1</v>
      </c>
      <c r="M30" s="140" t="str">
        <f t="shared" si="15"/>
        <v>豊明A</v>
      </c>
      <c r="N30" s="141">
        <f t="shared" si="6"/>
        <v>51</v>
      </c>
      <c r="O30" s="142" t="str">
        <f t="shared" si="16"/>
        <v>近藤 治</v>
      </c>
      <c r="P30" s="143">
        <f t="shared" si="17"/>
        <v>0</v>
      </c>
      <c r="Q30" s="134">
        <f t="shared" si="22"/>
        <v>0.1</v>
      </c>
      <c r="S30" s="134" t="str">
        <f t="shared" si="23"/>
        <v/>
      </c>
      <c r="T30" s="140" t="str">
        <f t="shared" si="7"/>
        <v/>
      </c>
      <c r="U30" s="141" t="str">
        <f t="shared" si="8"/>
        <v/>
      </c>
      <c r="V30" s="142" t="str">
        <f t="shared" si="20"/>
        <v/>
      </c>
      <c r="W30" s="143" t="str">
        <f t="shared" si="9"/>
        <v/>
      </c>
      <c r="X30" s="134" t="str">
        <f t="shared" si="24"/>
        <v/>
      </c>
      <c r="Z30" s="137" t="str">
        <f>IF(選手!G9="","",選手!G9)</f>
        <v>尾張旭B</v>
      </c>
      <c r="AA30" s="137">
        <f>IF(選手!H9="","",選手!H9)</f>
        <v>28</v>
      </c>
      <c r="AB30" s="138" t="str">
        <f>IF(選手!I9="","",選手!I9)</f>
        <v>田中 沙紀子</v>
      </c>
      <c r="AC30" s="137" t="str">
        <f>IF(選手!J9="","",選手!J9)</f>
        <v>女</v>
      </c>
      <c r="AD30" s="139">
        <f>記録!O23</f>
        <v>0</v>
      </c>
      <c r="AE30" s="138">
        <f>記録!O22</f>
        <v>0.1</v>
      </c>
      <c r="AF30" s="138">
        <f>AG30+COUNTIF(AG3:AG30,AG30)-1</f>
        <v>28</v>
      </c>
      <c r="AG30" s="138">
        <f t="shared" si="11"/>
        <v>1</v>
      </c>
    </row>
    <row r="31" spans="2:33" x14ac:dyDescent="0.75">
      <c r="B31" s="115">
        <v>29</v>
      </c>
      <c r="C31" s="130">
        <f t="shared" si="0"/>
        <v>1</v>
      </c>
      <c r="D31" s="131" t="str">
        <f t="shared" si="1"/>
        <v>日進A</v>
      </c>
      <c r="E31" s="130">
        <f t="shared" si="2"/>
        <v>29</v>
      </c>
      <c r="F31" s="131" t="str">
        <f t="shared" si="3"/>
        <v>志手 俊二</v>
      </c>
      <c r="G31" s="130" t="str">
        <f t="shared" si="4"/>
        <v>男</v>
      </c>
      <c r="H31" s="132">
        <f t="shared" si="5"/>
        <v>0</v>
      </c>
      <c r="I31" s="133">
        <f t="shared" si="12"/>
        <v>31</v>
      </c>
      <c r="J31" s="133" t="str">
        <f t="shared" si="13"/>
        <v/>
      </c>
      <c r="L31" s="134">
        <f t="shared" si="21"/>
        <v>1</v>
      </c>
      <c r="M31" s="140" t="str">
        <f t="shared" si="15"/>
        <v>豊明A</v>
      </c>
      <c r="N31" s="141">
        <f t="shared" si="6"/>
        <v>52</v>
      </c>
      <c r="O31" s="142" t="str">
        <f t="shared" si="16"/>
        <v>園田 敏雄</v>
      </c>
      <c r="P31" s="143">
        <f t="shared" si="17"/>
        <v>0</v>
      </c>
      <c r="Q31" s="134">
        <f t="shared" si="22"/>
        <v>0.1</v>
      </c>
      <c r="S31" s="134" t="str">
        <f t="shared" si="23"/>
        <v/>
      </c>
      <c r="T31" s="140" t="str">
        <f t="shared" si="7"/>
        <v/>
      </c>
      <c r="U31" s="141" t="str">
        <f t="shared" si="8"/>
        <v/>
      </c>
      <c r="V31" s="142" t="str">
        <f t="shared" si="20"/>
        <v/>
      </c>
      <c r="W31" s="143" t="str">
        <f t="shared" si="9"/>
        <v/>
      </c>
      <c r="X31" s="134" t="str">
        <f t="shared" si="24"/>
        <v/>
      </c>
      <c r="Z31" s="137" t="str">
        <f>IF(選手!G10="","",選手!G10)</f>
        <v>日進A</v>
      </c>
      <c r="AA31" s="137">
        <f>IF(選手!H10="","",選手!H10)</f>
        <v>29</v>
      </c>
      <c r="AB31" s="138" t="str">
        <f>IF(選手!I10="","",選手!I10)</f>
        <v>志手 俊二</v>
      </c>
      <c r="AC31" s="137" t="str">
        <f>IF(選手!J10="","",選手!J10)</f>
        <v>男</v>
      </c>
      <c r="AD31" s="139">
        <f>記録!N23</f>
        <v>0</v>
      </c>
      <c r="AE31" s="138">
        <f>記録!N22</f>
        <v>0.1</v>
      </c>
      <c r="AF31" s="138">
        <f>AG31+COUNTIF(AG3:AG31,AG31)-1</f>
        <v>29</v>
      </c>
      <c r="AG31" s="138">
        <f t="shared" si="11"/>
        <v>1</v>
      </c>
    </row>
    <row r="32" spans="2:33" x14ac:dyDescent="0.75">
      <c r="B32" s="115">
        <v>30</v>
      </c>
      <c r="C32" s="130">
        <f t="shared" si="0"/>
        <v>1</v>
      </c>
      <c r="D32" s="131" t="str">
        <f t="shared" si="1"/>
        <v>日進A</v>
      </c>
      <c r="E32" s="130">
        <f t="shared" si="2"/>
        <v>30</v>
      </c>
      <c r="F32" s="131" t="str">
        <f t="shared" si="3"/>
        <v>米田 康介</v>
      </c>
      <c r="G32" s="130" t="str">
        <f t="shared" si="4"/>
        <v>男</v>
      </c>
      <c r="H32" s="132">
        <f t="shared" si="5"/>
        <v>0</v>
      </c>
      <c r="I32" s="133">
        <f t="shared" si="12"/>
        <v>32</v>
      </c>
      <c r="J32" s="133" t="str">
        <f t="shared" si="13"/>
        <v/>
      </c>
      <c r="L32" s="134" t="str">
        <f t="shared" si="21"/>
        <v/>
      </c>
      <c r="M32" s="140" t="str">
        <f t="shared" si="15"/>
        <v/>
      </c>
      <c r="N32" s="141" t="str">
        <f t="shared" si="6"/>
        <v/>
      </c>
      <c r="O32" s="142" t="str">
        <f t="shared" si="16"/>
        <v/>
      </c>
      <c r="P32" s="143" t="str">
        <f t="shared" si="17"/>
        <v/>
      </c>
      <c r="Q32" s="134" t="str">
        <f t="shared" si="22"/>
        <v/>
      </c>
      <c r="S32" s="134" t="str">
        <f t="shared" si="23"/>
        <v/>
      </c>
      <c r="T32" s="140" t="str">
        <f t="shared" si="7"/>
        <v/>
      </c>
      <c r="U32" s="141" t="str">
        <f t="shared" si="8"/>
        <v/>
      </c>
      <c r="V32" s="142" t="str">
        <f t="shared" si="20"/>
        <v/>
      </c>
      <c r="W32" s="143" t="str">
        <f t="shared" si="9"/>
        <v/>
      </c>
      <c r="X32" s="134" t="str">
        <f t="shared" si="24"/>
        <v/>
      </c>
      <c r="Z32" s="137" t="str">
        <f>IF(選手!G11="","",選手!G11)</f>
        <v>日進A</v>
      </c>
      <c r="AA32" s="137">
        <f>IF(選手!H11="","",選手!H11)</f>
        <v>30</v>
      </c>
      <c r="AB32" s="138" t="str">
        <f>IF(選手!I11="","",選手!I11)</f>
        <v>米田 康介</v>
      </c>
      <c r="AC32" s="137" t="str">
        <f>IF(選手!J11="","",選手!J11)</f>
        <v>男</v>
      </c>
      <c r="AD32" s="139">
        <f>記録!M23</f>
        <v>0</v>
      </c>
      <c r="AE32" s="138">
        <f>記録!M22</f>
        <v>0.1</v>
      </c>
      <c r="AF32" s="138">
        <f>AG32+COUNTIF(AG3:AG32,AG32)-1</f>
        <v>30</v>
      </c>
      <c r="AG32" s="138">
        <f t="shared" si="11"/>
        <v>1</v>
      </c>
    </row>
    <row r="33" spans="2:33" x14ac:dyDescent="0.75">
      <c r="B33" s="115">
        <v>31</v>
      </c>
      <c r="C33" s="130">
        <f t="shared" si="0"/>
        <v>1</v>
      </c>
      <c r="D33" s="131" t="str">
        <f t="shared" si="1"/>
        <v>日進A</v>
      </c>
      <c r="E33" s="130">
        <f t="shared" si="2"/>
        <v>31</v>
      </c>
      <c r="F33" s="131" t="str">
        <f t="shared" si="3"/>
        <v>窪田 達也</v>
      </c>
      <c r="G33" s="130" t="str">
        <f t="shared" si="4"/>
        <v>男</v>
      </c>
      <c r="H33" s="132">
        <f t="shared" si="5"/>
        <v>0</v>
      </c>
      <c r="I33" s="133">
        <f t="shared" si="12"/>
        <v>33</v>
      </c>
      <c r="J33" s="133" t="str">
        <f t="shared" si="13"/>
        <v/>
      </c>
      <c r="L33" s="134" t="str">
        <f t="shared" si="21"/>
        <v/>
      </c>
      <c r="M33" s="140" t="str">
        <f t="shared" si="15"/>
        <v/>
      </c>
      <c r="N33" s="141" t="str">
        <f t="shared" si="6"/>
        <v/>
      </c>
      <c r="O33" s="142" t="str">
        <f t="shared" si="16"/>
        <v/>
      </c>
      <c r="P33" s="143" t="str">
        <f t="shared" si="17"/>
        <v/>
      </c>
      <c r="Q33" s="134" t="str">
        <f t="shared" si="22"/>
        <v/>
      </c>
      <c r="S33" s="134" t="str">
        <f t="shared" si="23"/>
        <v/>
      </c>
      <c r="T33" s="140" t="str">
        <f t="shared" si="7"/>
        <v/>
      </c>
      <c r="U33" s="141" t="str">
        <f t="shared" si="8"/>
        <v/>
      </c>
      <c r="V33" s="142" t="str">
        <f t="shared" si="20"/>
        <v/>
      </c>
      <c r="W33" s="143" t="str">
        <f t="shared" si="9"/>
        <v/>
      </c>
      <c r="X33" s="134" t="str">
        <f t="shared" si="24"/>
        <v/>
      </c>
      <c r="Z33" s="137" t="str">
        <f>IF(選手!G12="","",選手!G12)</f>
        <v>日進A</v>
      </c>
      <c r="AA33" s="137">
        <f>IF(選手!H12="","",選手!H12)</f>
        <v>31</v>
      </c>
      <c r="AB33" s="138" t="str">
        <f>IF(選手!I12="","",選手!I12)</f>
        <v>窪田 達也</v>
      </c>
      <c r="AC33" s="137" t="str">
        <f>IF(選手!J12="","",選手!J12)</f>
        <v>男</v>
      </c>
      <c r="AD33" s="139">
        <f>記録!L23</f>
        <v>0</v>
      </c>
      <c r="AE33" s="138">
        <f>記録!L22</f>
        <v>0.1</v>
      </c>
      <c r="AF33" s="138">
        <f>AG33+COUNTIF(AG3:AG33,AG33)-1</f>
        <v>31</v>
      </c>
      <c r="AG33" s="138">
        <f t="shared" si="11"/>
        <v>1</v>
      </c>
    </row>
    <row r="34" spans="2:33" x14ac:dyDescent="0.75">
      <c r="B34" s="115">
        <v>32</v>
      </c>
      <c r="C34" s="130">
        <f t="shared" si="0"/>
        <v>1</v>
      </c>
      <c r="D34" s="131" t="str">
        <f t="shared" si="1"/>
        <v>日進A</v>
      </c>
      <c r="E34" s="130">
        <f t="shared" si="2"/>
        <v>32</v>
      </c>
      <c r="F34" s="131" t="str">
        <f t="shared" si="3"/>
        <v>新美 友治</v>
      </c>
      <c r="G34" s="130" t="str">
        <f t="shared" si="4"/>
        <v>男</v>
      </c>
      <c r="H34" s="132">
        <f t="shared" si="5"/>
        <v>0</v>
      </c>
      <c r="I34" s="133">
        <f t="shared" si="12"/>
        <v>34</v>
      </c>
      <c r="J34" s="133" t="str">
        <f t="shared" si="13"/>
        <v/>
      </c>
      <c r="L34" s="134" t="str">
        <f t="shared" si="21"/>
        <v/>
      </c>
      <c r="M34" s="140" t="str">
        <f t="shared" si="15"/>
        <v/>
      </c>
      <c r="N34" s="141" t="str">
        <f t="shared" si="6"/>
        <v/>
      </c>
      <c r="O34" s="142" t="str">
        <f t="shared" si="16"/>
        <v/>
      </c>
      <c r="P34" s="143" t="str">
        <f t="shared" si="17"/>
        <v/>
      </c>
      <c r="Q34" s="134" t="str">
        <f t="shared" si="22"/>
        <v/>
      </c>
      <c r="S34" s="134" t="str">
        <f t="shared" si="23"/>
        <v/>
      </c>
      <c r="T34" s="140" t="str">
        <f t="shared" si="7"/>
        <v/>
      </c>
      <c r="U34" s="141" t="str">
        <f t="shared" si="8"/>
        <v/>
      </c>
      <c r="V34" s="142" t="str">
        <f t="shared" si="20"/>
        <v/>
      </c>
      <c r="W34" s="143" t="str">
        <f t="shared" si="9"/>
        <v/>
      </c>
      <c r="X34" s="134" t="str">
        <f t="shared" si="24"/>
        <v/>
      </c>
      <c r="Z34" s="137" t="str">
        <f>IF(選手!G13="","",選手!G13)</f>
        <v>日進A</v>
      </c>
      <c r="AA34" s="137">
        <f>IF(選手!H13="","",選手!H13)</f>
        <v>32</v>
      </c>
      <c r="AB34" s="138" t="str">
        <f>IF(選手!I13="","",選手!I13)</f>
        <v>新美 友治</v>
      </c>
      <c r="AC34" s="137" t="str">
        <f>IF(選手!J13="","",選手!J13)</f>
        <v>男</v>
      </c>
      <c r="AD34" s="139">
        <f>記録!K23</f>
        <v>0</v>
      </c>
      <c r="AE34" s="138">
        <f>記録!K22</f>
        <v>0.1</v>
      </c>
      <c r="AF34" s="138">
        <f>AG34+COUNTIF(AG3:AG34,AG34)-1</f>
        <v>32</v>
      </c>
      <c r="AG34" s="138">
        <f t="shared" si="11"/>
        <v>1</v>
      </c>
    </row>
    <row r="35" spans="2:33" x14ac:dyDescent="0.75">
      <c r="B35" s="115">
        <v>33</v>
      </c>
      <c r="C35" s="130">
        <f t="shared" ref="C35:C66" si="25">SMALL(AG:AG, B35)</f>
        <v>1</v>
      </c>
      <c r="D35" s="131" t="str">
        <f t="shared" ref="D35:D66" si="26">INDEX(Z:Z,MATCH(B35,AF:AF,0))</f>
        <v>日進B</v>
      </c>
      <c r="E35" s="130">
        <f t="shared" ref="E35:E66" si="27">INDEX(AA:AA,MATCH(B35,AF:AF,0))</f>
        <v>33</v>
      </c>
      <c r="F35" s="131" t="str">
        <f t="shared" ref="F35:F66" si="28">INDEX(AB:AB,MATCH(B35,AF:AF,0))</f>
        <v>三田村 静子</v>
      </c>
      <c r="G35" s="130" t="str">
        <f t="shared" ref="G35:G66" si="29">INDEX(AC:AC,MATCH(B35,AF:AF,0))</f>
        <v>女</v>
      </c>
      <c r="H35" s="132">
        <f t="shared" si="5"/>
        <v>0</v>
      </c>
      <c r="I35" s="133" t="str">
        <f t="shared" si="12"/>
        <v/>
      </c>
      <c r="J35" s="133">
        <f t="shared" si="13"/>
        <v>35</v>
      </c>
      <c r="L35" s="134" t="str">
        <f t="shared" si="21"/>
        <v/>
      </c>
      <c r="M35" s="140" t="str">
        <f t="shared" ref="M35:M66" si="30">IF(O35="","",INDEX(D:D,MATCH(O35,F:F,0)))</f>
        <v/>
      </c>
      <c r="N35" s="141" t="str">
        <f t="shared" ref="N35:N66" si="31">IF(O35="","",INDEX(E:E,MATCH(O35,F:F,0)))</f>
        <v/>
      </c>
      <c r="O35" s="142" t="str">
        <f t="shared" ref="O35:O66" si="32">IF(COUNT(I:I)&lt;ROW(B33),"",INDEX(F:F,SMALL(I:I,ROW(B33))))</f>
        <v/>
      </c>
      <c r="P35" s="143" t="str">
        <f t="shared" ref="P35:P66" si="33">IF(O35="","",INDEX(H:H,MATCH(O35,F:F,0)))</f>
        <v/>
      </c>
      <c r="Q35" s="134" t="str">
        <f t="shared" si="22"/>
        <v/>
      </c>
      <c r="S35" s="134" t="str">
        <f t="shared" si="23"/>
        <v/>
      </c>
      <c r="T35" s="140" t="str">
        <f t="shared" ref="T35:T66" si="34">IF(V35="","",INDEX(D:D,MATCH(V35,F:F,0)))</f>
        <v/>
      </c>
      <c r="U35" s="141" t="str">
        <f t="shared" ref="U35:U66" si="35">IF(V35="","",INDEX(E:E,MATCH(V35,F:F,0)))</f>
        <v/>
      </c>
      <c r="V35" s="142" t="str">
        <f t="shared" ref="V35:V66" si="36">IF(COUNT(J:J)&lt;ROW(B33),"",INDEX(F:F,SMALL(J:J,ROW(B33))))</f>
        <v/>
      </c>
      <c r="W35" s="143" t="str">
        <f t="shared" ref="W35:W66" si="37">IF(V35="","",INDEX(H:H,MATCH(V35,F:F,0)))</f>
        <v/>
      </c>
      <c r="X35" s="134" t="str">
        <f t="shared" si="24"/>
        <v/>
      </c>
      <c r="Z35" s="137" t="str">
        <f>IF(選手!G14="","",選手!G14)</f>
        <v>日進B</v>
      </c>
      <c r="AA35" s="137">
        <f>IF(選手!H14="","",選手!H14)</f>
        <v>33</v>
      </c>
      <c r="AB35" s="138" t="str">
        <f>IF(選手!I14="","",選手!I14)</f>
        <v>三田村 静子</v>
      </c>
      <c r="AC35" s="137" t="str">
        <f>IF(選手!J14="","",選手!J14)</f>
        <v>女</v>
      </c>
      <c r="AD35" s="139">
        <f>記録!J23</f>
        <v>0</v>
      </c>
      <c r="AE35" s="138">
        <f>記録!J22</f>
        <v>0.1</v>
      </c>
      <c r="AF35" s="138">
        <f>AG35+COUNTIF(AG3:AG35,AG35)-1</f>
        <v>33</v>
      </c>
      <c r="AG35" s="138">
        <f t="shared" ref="AG35:AG66" si="38">_xlfn.RANK.EQ(AE35,AE:AE)</f>
        <v>1</v>
      </c>
    </row>
    <row r="36" spans="2:33" x14ac:dyDescent="0.75">
      <c r="B36" s="115">
        <v>34</v>
      </c>
      <c r="C36" s="130">
        <f t="shared" si="25"/>
        <v>1</v>
      </c>
      <c r="D36" s="131" t="str">
        <f t="shared" si="26"/>
        <v>日進B</v>
      </c>
      <c r="E36" s="130">
        <f t="shared" si="27"/>
        <v>34</v>
      </c>
      <c r="F36" s="131" t="str">
        <f t="shared" si="28"/>
        <v>浅井 明美</v>
      </c>
      <c r="G36" s="130" t="str">
        <f t="shared" si="29"/>
        <v>女</v>
      </c>
      <c r="H36" s="132">
        <f t="shared" si="5"/>
        <v>0</v>
      </c>
      <c r="I36" s="133" t="str">
        <f t="shared" si="12"/>
        <v/>
      </c>
      <c r="J36" s="133">
        <f t="shared" si="13"/>
        <v>36</v>
      </c>
      <c r="L36" s="134" t="str">
        <f t="shared" si="21"/>
        <v/>
      </c>
      <c r="M36" s="140" t="str">
        <f t="shared" si="30"/>
        <v/>
      </c>
      <c r="N36" s="141" t="str">
        <f t="shared" si="31"/>
        <v/>
      </c>
      <c r="O36" s="142" t="str">
        <f t="shared" si="32"/>
        <v/>
      </c>
      <c r="P36" s="143" t="str">
        <f t="shared" si="33"/>
        <v/>
      </c>
      <c r="Q36" s="134" t="str">
        <f t="shared" si="22"/>
        <v/>
      </c>
      <c r="S36" s="134" t="str">
        <f t="shared" si="23"/>
        <v/>
      </c>
      <c r="T36" s="140" t="str">
        <f t="shared" si="34"/>
        <v/>
      </c>
      <c r="U36" s="141" t="str">
        <f t="shared" si="35"/>
        <v/>
      </c>
      <c r="V36" s="142" t="str">
        <f t="shared" si="36"/>
        <v/>
      </c>
      <c r="W36" s="143" t="str">
        <f t="shared" si="37"/>
        <v/>
      </c>
      <c r="X36" s="134" t="str">
        <f t="shared" si="24"/>
        <v/>
      </c>
      <c r="Z36" s="137" t="str">
        <f>IF(選手!G15="","",選手!G15)</f>
        <v>日進B</v>
      </c>
      <c r="AA36" s="137">
        <f>IF(選手!H15="","",選手!H15)</f>
        <v>34</v>
      </c>
      <c r="AB36" s="138" t="str">
        <f>IF(選手!I15="","",選手!I15)</f>
        <v>浅井 明美</v>
      </c>
      <c r="AC36" s="137" t="str">
        <f>IF(選手!J15="","",選手!J15)</f>
        <v>女</v>
      </c>
      <c r="AD36" s="139">
        <f>記録!I23</f>
        <v>0</v>
      </c>
      <c r="AE36" s="138">
        <f>記録!I22</f>
        <v>0.1</v>
      </c>
      <c r="AF36" s="138">
        <f>AG36+COUNTIF(AG3:AG36,AG36)-1</f>
        <v>34</v>
      </c>
      <c r="AG36" s="138">
        <f t="shared" si="38"/>
        <v>1</v>
      </c>
    </row>
    <row r="37" spans="2:33" x14ac:dyDescent="0.75">
      <c r="B37" s="115">
        <v>35</v>
      </c>
      <c r="C37" s="130">
        <f t="shared" si="25"/>
        <v>1</v>
      </c>
      <c r="D37" s="131" t="str">
        <f t="shared" si="26"/>
        <v>日進B</v>
      </c>
      <c r="E37" s="130">
        <f t="shared" si="27"/>
        <v>35</v>
      </c>
      <c r="F37" s="131" t="str">
        <f t="shared" si="28"/>
        <v>谷口 洋子</v>
      </c>
      <c r="G37" s="130" t="str">
        <f t="shared" si="29"/>
        <v>女</v>
      </c>
      <c r="H37" s="132">
        <f t="shared" si="5"/>
        <v>0</v>
      </c>
      <c r="I37" s="133" t="str">
        <f t="shared" si="12"/>
        <v/>
      </c>
      <c r="J37" s="133">
        <f t="shared" si="13"/>
        <v>37</v>
      </c>
      <c r="L37" s="134" t="str">
        <f t="shared" si="21"/>
        <v/>
      </c>
      <c r="M37" s="140" t="str">
        <f t="shared" si="30"/>
        <v/>
      </c>
      <c r="N37" s="141" t="str">
        <f t="shared" si="31"/>
        <v/>
      </c>
      <c r="O37" s="142" t="str">
        <f t="shared" si="32"/>
        <v/>
      </c>
      <c r="P37" s="143" t="str">
        <f t="shared" si="33"/>
        <v/>
      </c>
      <c r="Q37" s="134" t="str">
        <f t="shared" si="22"/>
        <v/>
      </c>
      <c r="S37" s="134" t="str">
        <f t="shared" si="23"/>
        <v/>
      </c>
      <c r="T37" s="140" t="str">
        <f t="shared" si="34"/>
        <v/>
      </c>
      <c r="U37" s="141" t="str">
        <f t="shared" si="35"/>
        <v/>
      </c>
      <c r="V37" s="142" t="str">
        <f t="shared" si="36"/>
        <v/>
      </c>
      <c r="W37" s="143" t="str">
        <f t="shared" si="37"/>
        <v/>
      </c>
      <c r="X37" s="134" t="str">
        <f t="shared" si="24"/>
        <v/>
      </c>
      <c r="Z37" s="137" t="str">
        <f>IF(選手!G16="","",選手!G16)</f>
        <v>日進B</v>
      </c>
      <c r="AA37" s="137">
        <f>IF(選手!H16="","",選手!H16)</f>
        <v>35</v>
      </c>
      <c r="AB37" s="138" t="str">
        <f>IF(選手!I16="","",選手!I16)</f>
        <v>谷口 洋子</v>
      </c>
      <c r="AC37" s="137" t="str">
        <f>IF(選手!J16="","",選手!J16)</f>
        <v>女</v>
      </c>
      <c r="AD37" s="139">
        <f>記録!H23</f>
        <v>0</v>
      </c>
      <c r="AE37" s="138">
        <f>記録!H22</f>
        <v>0.1</v>
      </c>
      <c r="AF37" s="138">
        <f>AG37+COUNTIF(AG3:AG37,AG37)-1</f>
        <v>35</v>
      </c>
      <c r="AG37" s="138">
        <f t="shared" si="38"/>
        <v>1</v>
      </c>
    </row>
    <row r="38" spans="2:33" x14ac:dyDescent="0.75">
      <c r="B38" s="115">
        <v>36</v>
      </c>
      <c r="C38" s="130">
        <f t="shared" si="25"/>
        <v>1</v>
      </c>
      <c r="D38" s="131" t="str">
        <f t="shared" si="26"/>
        <v>日進B</v>
      </c>
      <c r="E38" s="130">
        <f t="shared" si="27"/>
        <v>36</v>
      </c>
      <c r="F38" s="131" t="str">
        <f t="shared" si="28"/>
        <v>赤塚 正子</v>
      </c>
      <c r="G38" s="130" t="str">
        <f t="shared" si="29"/>
        <v>女</v>
      </c>
      <c r="H38" s="132">
        <f t="shared" si="5"/>
        <v>0</v>
      </c>
      <c r="I38" s="133" t="str">
        <f t="shared" si="12"/>
        <v/>
      </c>
      <c r="J38" s="133">
        <f t="shared" si="13"/>
        <v>38</v>
      </c>
      <c r="L38" s="134" t="str">
        <f t="shared" si="21"/>
        <v/>
      </c>
      <c r="M38" s="140" t="str">
        <f t="shared" si="30"/>
        <v/>
      </c>
      <c r="N38" s="141" t="str">
        <f t="shared" si="31"/>
        <v/>
      </c>
      <c r="O38" s="142" t="str">
        <f t="shared" si="32"/>
        <v/>
      </c>
      <c r="P38" s="143" t="str">
        <f t="shared" si="33"/>
        <v/>
      </c>
      <c r="Q38" s="134" t="str">
        <f t="shared" si="22"/>
        <v/>
      </c>
      <c r="S38" s="134" t="str">
        <f t="shared" si="23"/>
        <v/>
      </c>
      <c r="T38" s="140" t="str">
        <f t="shared" si="34"/>
        <v/>
      </c>
      <c r="U38" s="141" t="str">
        <f t="shared" si="35"/>
        <v/>
      </c>
      <c r="V38" s="142" t="str">
        <f t="shared" si="36"/>
        <v/>
      </c>
      <c r="W38" s="143" t="str">
        <f t="shared" si="37"/>
        <v/>
      </c>
      <c r="X38" s="134" t="str">
        <f t="shared" si="24"/>
        <v/>
      </c>
      <c r="Z38" s="137" t="str">
        <f>IF(選手!G17="","",選手!G17)</f>
        <v>日進B</v>
      </c>
      <c r="AA38" s="137">
        <f>IF(選手!H17="","",選手!H17)</f>
        <v>36</v>
      </c>
      <c r="AB38" s="138" t="str">
        <f>IF(選手!I17="","",選手!I17)</f>
        <v>赤塚 正子</v>
      </c>
      <c r="AC38" s="137" t="str">
        <f>IF(選手!J17="","",選手!J17)</f>
        <v>女</v>
      </c>
      <c r="AD38" s="139">
        <f>記録!G23</f>
        <v>0</v>
      </c>
      <c r="AE38" s="138">
        <f>記録!G22</f>
        <v>0.1</v>
      </c>
      <c r="AF38" s="138">
        <f>AG38+COUNTIF(AG3:AG38,AG38)-1</f>
        <v>36</v>
      </c>
      <c r="AG38" s="138">
        <f t="shared" si="38"/>
        <v>1</v>
      </c>
    </row>
    <row r="39" spans="2:33" x14ac:dyDescent="0.75">
      <c r="B39" s="115">
        <v>37</v>
      </c>
      <c r="C39" s="130">
        <f t="shared" si="25"/>
        <v>1</v>
      </c>
      <c r="D39" s="131" t="str">
        <f t="shared" si="26"/>
        <v>春日井B</v>
      </c>
      <c r="E39" s="130">
        <f t="shared" si="27"/>
        <v>37</v>
      </c>
      <c r="F39" s="131" t="str">
        <f t="shared" si="28"/>
        <v>遠藤 恵美子</v>
      </c>
      <c r="G39" s="130" t="str">
        <f t="shared" si="29"/>
        <v>女</v>
      </c>
      <c r="H39" s="132">
        <f t="shared" si="5"/>
        <v>0</v>
      </c>
      <c r="I39" s="133" t="str">
        <f t="shared" si="12"/>
        <v/>
      </c>
      <c r="J39" s="133">
        <f t="shared" si="13"/>
        <v>39</v>
      </c>
      <c r="L39" s="134" t="str">
        <f t="shared" si="21"/>
        <v/>
      </c>
      <c r="M39" s="140" t="str">
        <f t="shared" si="30"/>
        <v/>
      </c>
      <c r="N39" s="141" t="str">
        <f t="shared" si="31"/>
        <v/>
      </c>
      <c r="O39" s="142" t="str">
        <f t="shared" si="32"/>
        <v/>
      </c>
      <c r="P39" s="143" t="str">
        <f t="shared" si="33"/>
        <v/>
      </c>
      <c r="Q39" s="134" t="str">
        <f t="shared" si="22"/>
        <v/>
      </c>
      <c r="S39" s="134" t="str">
        <f t="shared" si="23"/>
        <v/>
      </c>
      <c r="T39" s="140" t="str">
        <f t="shared" si="34"/>
        <v/>
      </c>
      <c r="U39" s="141" t="str">
        <f t="shared" si="35"/>
        <v/>
      </c>
      <c r="V39" s="142" t="str">
        <f t="shared" si="36"/>
        <v/>
      </c>
      <c r="W39" s="143" t="str">
        <f t="shared" si="37"/>
        <v/>
      </c>
      <c r="X39" s="134" t="str">
        <f t="shared" si="24"/>
        <v/>
      </c>
      <c r="Z39" s="137" t="str">
        <f>IF(選手!G18="","",選手!G18)</f>
        <v>春日井B</v>
      </c>
      <c r="AA39" s="137">
        <f>IF(選手!H18="","",選手!H18)</f>
        <v>37</v>
      </c>
      <c r="AB39" s="138" t="str">
        <f>IF(選手!I18="","",選手!I18)</f>
        <v>遠藤 恵美子</v>
      </c>
      <c r="AC39" s="137" t="str">
        <f>IF(選手!J18="","",選手!J18)</f>
        <v>女</v>
      </c>
      <c r="AD39" s="139">
        <f>記録!F23</f>
        <v>0</v>
      </c>
      <c r="AE39" s="138">
        <f>記録!F22</f>
        <v>0.1</v>
      </c>
      <c r="AF39" s="138">
        <f>AG39+COUNTIF(AG3:AG39,AG39)-1</f>
        <v>37</v>
      </c>
      <c r="AG39" s="138">
        <f t="shared" si="38"/>
        <v>1</v>
      </c>
    </row>
    <row r="40" spans="2:33" x14ac:dyDescent="0.75">
      <c r="B40" s="115">
        <v>38</v>
      </c>
      <c r="C40" s="130">
        <f t="shared" si="25"/>
        <v>1</v>
      </c>
      <c r="D40" s="131" t="str">
        <f t="shared" si="26"/>
        <v>春日井B</v>
      </c>
      <c r="E40" s="130">
        <f t="shared" si="27"/>
        <v>38</v>
      </c>
      <c r="F40" s="131" t="str">
        <f t="shared" si="28"/>
        <v>山口 このみ</v>
      </c>
      <c r="G40" s="130" t="str">
        <f t="shared" si="29"/>
        <v>女</v>
      </c>
      <c r="H40" s="132">
        <f t="shared" si="5"/>
        <v>0</v>
      </c>
      <c r="I40" s="133" t="str">
        <f t="shared" si="12"/>
        <v/>
      </c>
      <c r="J40" s="133">
        <f t="shared" si="13"/>
        <v>40</v>
      </c>
      <c r="L40" s="134" t="str">
        <f t="shared" si="21"/>
        <v/>
      </c>
      <c r="M40" s="140" t="str">
        <f t="shared" si="30"/>
        <v/>
      </c>
      <c r="N40" s="141" t="str">
        <f t="shared" si="31"/>
        <v/>
      </c>
      <c r="O40" s="142" t="str">
        <f t="shared" si="32"/>
        <v/>
      </c>
      <c r="P40" s="143" t="str">
        <f t="shared" si="33"/>
        <v/>
      </c>
      <c r="Q40" s="134" t="str">
        <f t="shared" si="22"/>
        <v/>
      </c>
      <c r="S40" s="134" t="str">
        <f t="shared" si="23"/>
        <v/>
      </c>
      <c r="T40" s="140" t="str">
        <f t="shared" si="34"/>
        <v/>
      </c>
      <c r="U40" s="141" t="str">
        <f t="shared" si="35"/>
        <v/>
      </c>
      <c r="V40" s="142" t="str">
        <f t="shared" si="36"/>
        <v/>
      </c>
      <c r="W40" s="143" t="str">
        <f t="shared" si="37"/>
        <v/>
      </c>
      <c r="X40" s="134" t="str">
        <f t="shared" si="24"/>
        <v/>
      </c>
      <c r="Z40" s="137" t="str">
        <f>IF(選手!G19="","",選手!G19)</f>
        <v>春日井B</v>
      </c>
      <c r="AA40" s="137">
        <f>IF(選手!H19="","",選手!H19)</f>
        <v>38</v>
      </c>
      <c r="AB40" s="138" t="str">
        <f>IF(選手!I19="","",選手!I19)</f>
        <v>山口 このみ</v>
      </c>
      <c r="AC40" s="137" t="str">
        <f>IF(選手!J19="","",選手!J19)</f>
        <v>女</v>
      </c>
      <c r="AD40" s="139">
        <f>記録!E23</f>
        <v>0</v>
      </c>
      <c r="AE40" s="138">
        <f>記録!E22</f>
        <v>0.1</v>
      </c>
      <c r="AF40" s="138">
        <f>AG40+COUNTIF(AG3:AG40,AG40)-1</f>
        <v>38</v>
      </c>
      <c r="AG40" s="138">
        <f t="shared" si="38"/>
        <v>1</v>
      </c>
    </row>
    <row r="41" spans="2:33" x14ac:dyDescent="0.75">
      <c r="B41" s="115">
        <v>39</v>
      </c>
      <c r="C41" s="130">
        <f t="shared" si="25"/>
        <v>1</v>
      </c>
      <c r="D41" s="131" t="str">
        <f t="shared" si="26"/>
        <v>春日井B</v>
      </c>
      <c r="E41" s="130">
        <f t="shared" si="27"/>
        <v>39</v>
      </c>
      <c r="F41" s="131" t="str">
        <f t="shared" si="28"/>
        <v>片桐 志保</v>
      </c>
      <c r="G41" s="130" t="str">
        <f t="shared" si="29"/>
        <v>女</v>
      </c>
      <c r="H41" s="132">
        <f t="shared" si="5"/>
        <v>0</v>
      </c>
      <c r="I41" s="133" t="str">
        <f t="shared" si="12"/>
        <v/>
      </c>
      <c r="J41" s="133">
        <f t="shared" si="13"/>
        <v>41</v>
      </c>
      <c r="L41" s="134" t="str">
        <f t="shared" si="21"/>
        <v/>
      </c>
      <c r="M41" s="140" t="str">
        <f t="shared" si="30"/>
        <v/>
      </c>
      <c r="N41" s="141" t="str">
        <f t="shared" si="31"/>
        <v/>
      </c>
      <c r="O41" s="142" t="str">
        <f t="shared" si="32"/>
        <v/>
      </c>
      <c r="P41" s="143" t="str">
        <f t="shared" si="33"/>
        <v/>
      </c>
      <c r="Q41" s="134" t="str">
        <f t="shared" si="22"/>
        <v/>
      </c>
      <c r="S41" s="134" t="str">
        <f t="shared" si="23"/>
        <v/>
      </c>
      <c r="T41" s="140" t="str">
        <f t="shared" si="34"/>
        <v/>
      </c>
      <c r="U41" s="141" t="str">
        <f t="shared" si="35"/>
        <v/>
      </c>
      <c r="V41" s="142" t="str">
        <f t="shared" si="36"/>
        <v/>
      </c>
      <c r="W41" s="143" t="str">
        <f t="shared" si="37"/>
        <v/>
      </c>
      <c r="X41" s="134" t="str">
        <f t="shared" si="24"/>
        <v/>
      </c>
      <c r="Z41" s="137" t="str">
        <f>IF(選手!G20="","",選手!G20)</f>
        <v>春日井B</v>
      </c>
      <c r="AA41" s="137">
        <f>IF(選手!H20="","",選手!H20)</f>
        <v>39</v>
      </c>
      <c r="AB41" s="138" t="str">
        <f>IF(選手!I20="","",選手!I20)</f>
        <v>片桐 志保</v>
      </c>
      <c r="AC41" s="137" t="str">
        <f>IF(選手!J20="","",選手!J20)</f>
        <v>女</v>
      </c>
      <c r="AD41" s="139">
        <f>記録!D23</f>
        <v>0</v>
      </c>
      <c r="AE41" s="138">
        <f>記録!D22</f>
        <v>0.1</v>
      </c>
      <c r="AF41" s="138">
        <f>AG41+COUNTIF(AG3:AG41,AG41)-1</f>
        <v>39</v>
      </c>
      <c r="AG41" s="138">
        <f t="shared" si="38"/>
        <v>1</v>
      </c>
    </row>
    <row r="42" spans="2:33" x14ac:dyDescent="0.75">
      <c r="B42" s="115">
        <v>40</v>
      </c>
      <c r="C42" s="130">
        <f t="shared" si="25"/>
        <v>1</v>
      </c>
      <c r="D42" s="131" t="str">
        <f t="shared" si="26"/>
        <v>春日井B</v>
      </c>
      <c r="E42" s="130">
        <f t="shared" si="27"/>
        <v>40</v>
      </c>
      <c r="F42" s="131" t="str">
        <f t="shared" si="28"/>
        <v>佃 弘美</v>
      </c>
      <c r="G42" s="130" t="str">
        <f t="shared" si="29"/>
        <v>女</v>
      </c>
      <c r="H42" s="132">
        <f t="shared" si="5"/>
        <v>0</v>
      </c>
      <c r="I42" s="133" t="str">
        <f t="shared" si="12"/>
        <v/>
      </c>
      <c r="J42" s="133">
        <f t="shared" si="13"/>
        <v>42</v>
      </c>
      <c r="L42" s="134" t="str">
        <f t="shared" si="21"/>
        <v/>
      </c>
      <c r="M42" s="140" t="str">
        <f t="shared" si="30"/>
        <v/>
      </c>
      <c r="N42" s="141" t="str">
        <f t="shared" si="31"/>
        <v/>
      </c>
      <c r="O42" s="142" t="str">
        <f t="shared" si="32"/>
        <v/>
      </c>
      <c r="P42" s="143" t="str">
        <f t="shared" si="33"/>
        <v/>
      </c>
      <c r="Q42" s="134" t="str">
        <f t="shared" si="22"/>
        <v/>
      </c>
      <c r="S42" s="134" t="str">
        <f t="shared" si="23"/>
        <v/>
      </c>
      <c r="T42" s="140" t="str">
        <f t="shared" si="34"/>
        <v/>
      </c>
      <c r="U42" s="141" t="str">
        <f t="shared" si="35"/>
        <v/>
      </c>
      <c r="V42" s="142" t="str">
        <f t="shared" si="36"/>
        <v/>
      </c>
      <c r="W42" s="143" t="str">
        <f t="shared" si="37"/>
        <v/>
      </c>
      <c r="X42" s="134" t="str">
        <f t="shared" si="24"/>
        <v/>
      </c>
      <c r="Z42" s="137" t="str">
        <f>IF(選手!G21="","",選手!G21)</f>
        <v>春日井B</v>
      </c>
      <c r="AA42" s="137">
        <f>IF(選手!H21="","",選手!H21)</f>
        <v>40</v>
      </c>
      <c r="AB42" s="138" t="str">
        <f>IF(選手!I21="","",選手!I21)</f>
        <v>佃 弘美</v>
      </c>
      <c r="AC42" s="137" t="str">
        <f>IF(選手!J21="","",選手!J21)</f>
        <v>女</v>
      </c>
      <c r="AD42" s="139">
        <f>記録!C23</f>
        <v>0</v>
      </c>
      <c r="AE42" s="138">
        <f>記録!C22</f>
        <v>0.1</v>
      </c>
      <c r="AF42" s="138">
        <f>AG42+COUNTIF(AG3:AG42,AG42)-1</f>
        <v>40</v>
      </c>
      <c r="AG42" s="138">
        <f t="shared" si="38"/>
        <v>1</v>
      </c>
    </row>
    <row r="43" spans="2:33" x14ac:dyDescent="0.75">
      <c r="B43" s="115">
        <v>41</v>
      </c>
      <c r="C43" s="130">
        <f t="shared" si="25"/>
        <v>1</v>
      </c>
      <c r="D43" s="131" t="str">
        <f t="shared" si="26"/>
        <v>長久手A</v>
      </c>
      <c r="E43" s="130">
        <f t="shared" si="27"/>
        <v>41</v>
      </c>
      <c r="F43" s="131" t="str">
        <f t="shared" si="28"/>
        <v>柳原 啓宏</v>
      </c>
      <c r="G43" s="130" t="str">
        <f t="shared" si="29"/>
        <v>男</v>
      </c>
      <c r="H43" s="132">
        <f t="shared" si="5"/>
        <v>0</v>
      </c>
      <c r="I43" s="133">
        <f t="shared" si="12"/>
        <v>43</v>
      </c>
      <c r="J43" s="133" t="str">
        <f t="shared" si="13"/>
        <v/>
      </c>
      <c r="L43" s="134" t="str">
        <f t="shared" si="21"/>
        <v/>
      </c>
      <c r="M43" s="140" t="str">
        <f t="shared" si="30"/>
        <v/>
      </c>
      <c r="N43" s="141" t="str">
        <f t="shared" si="31"/>
        <v/>
      </c>
      <c r="O43" s="142" t="str">
        <f t="shared" si="32"/>
        <v/>
      </c>
      <c r="P43" s="143" t="str">
        <f t="shared" si="33"/>
        <v/>
      </c>
      <c r="Q43" s="134" t="str">
        <f t="shared" si="22"/>
        <v/>
      </c>
      <c r="S43" s="134" t="str">
        <f t="shared" si="23"/>
        <v/>
      </c>
      <c r="T43" s="140" t="str">
        <f t="shared" si="34"/>
        <v/>
      </c>
      <c r="U43" s="141" t="str">
        <f t="shared" si="35"/>
        <v/>
      </c>
      <c r="V43" s="142" t="str">
        <f t="shared" si="36"/>
        <v/>
      </c>
      <c r="W43" s="143" t="str">
        <f t="shared" si="37"/>
        <v/>
      </c>
      <c r="X43" s="134" t="str">
        <f t="shared" si="24"/>
        <v/>
      </c>
      <c r="Z43" s="137" t="str">
        <f>IF(選手!L2="","",選手!L2)</f>
        <v>長久手A</v>
      </c>
      <c r="AA43" s="137">
        <f>IF(選手!M2="","",選手!M2)</f>
        <v>41</v>
      </c>
      <c r="AB43" s="138" t="str">
        <f>IF(選手!N2="","",選手!N2)</f>
        <v>柳原 啓宏</v>
      </c>
      <c r="AC43" s="137" t="str">
        <f>IF(選手!O2="","",選手!O2)</f>
        <v>男</v>
      </c>
      <c r="AD43" s="139">
        <f>記録!R41</f>
        <v>0</v>
      </c>
      <c r="AE43" s="138">
        <f>記録!R40</f>
        <v>0.1</v>
      </c>
      <c r="AF43" s="138">
        <f>AG43+COUNTIF(AG3:AG43,AG43)-1</f>
        <v>41</v>
      </c>
      <c r="AG43" s="138">
        <f t="shared" si="38"/>
        <v>1</v>
      </c>
    </row>
    <row r="44" spans="2:33" x14ac:dyDescent="0.75">
      <c r="B44" s="115">
        <v>42</v>
      </c>
      <c r="C44" s="130">
        <f t="shared" si="25"/>
        <v>1</v>
      </c>
      <c r="D44" s="131" t="str">
        <f t="shared" si="26"/>
        <v>長久手A</v>
      </c>
      <c r="E44" s="130">
        <f t="shared" si="27"/>
        <v>42</v>
      </c>
      <c r="F44" s="131" t="str">
        <f t="shared" si="28"/>
        <v>葛西 裕文</v>
      </c>
      <c r="G44" s="130" t="str">
        <f t="shared" si="29"/>
        <v>男</v>
      </c>
      <c r="H44" s="132">
        <f t="shared" si="5"/>
        <v>0</v>
      </c>
      <c r="I44" s="133">
        <f t="shared" si="12"/>
        <v>44</v>
      </c>
      <c r="J44" s="133" t="str">
        <f t="shared" si="13"/>
        <v/>
      </c>
      <c r="L44" s="134" t="str">
        <f t="shared" si="21"/>
        <v/>
      </c>
      <c r="M44" s="140" t="str">
        <f t="shared" si="30"/>
        <v/>
      </c>
      <c r="N44" s="141" t="str">
        <f t="shared" si="31"/>
        <v/>
      </c>
      <c r="O44" s="142" t="str">
        <f t="shared" si="32"/>
        <v/>
      </c>
      <c r="P44" s="143" t="str">
        <f t="shared" si="33"/>
        <v/>
      </c>
      <c r="Q44" s="134" t="str">
        <f t="shared" si="22"/>
        <v/>
      </c>
      <c r="S44" s="134" t="str">
        <f t="shared" si="23"/>
        <v/>
      </c>
      <c r="T44" s="140" t="str">
        <f t="shared" si="34"/>
        <v/>
      </c>
      <c r="U44" s="141" t="str">
        <f t="shared" si="35"/>
        <v/>
      </c>
      <c r="V44" s="142" t="str">
        <f t="shared" si="36"/>
        <v/>
      </c>
      <c r="W44" s="143" t="str">
        <f t="shared" si="37"/>
        <v/>
      </c>
      <c r="X44" s="134" t="str">
        <f t="shared" si="24"/>
        <v/>
      </c>
      <c r="Z44" s="137" t="str">
        <f>IF(選手!L3="","",選手!L3)</f>
        <v>長久手A</v>
      </c>
      <c r="AA44" s="137">
        <f>IF(選手!M3="","",選手!M3)</f>
        <v>42</v>
      </c>
      <c r="AB44" s="138" t="str">
        <f>IF(選手!N3="","",選手!N3)</f>
        <v>葛西 裕文</v>
      </c>
      <c r="AC44" s="137" t="str">
        <f>IF(選手!O3="","",選手!O3)</f>
        <v>男</v>
      </c>
      <c r="AD44" s="139">
        <f>記録!Q41</f>
        <v>0</v>
      </c>
      <c r="AE44" s="138">
        <f>記録!Q40</f>
        <v>0.1</v>
      </c>
      <c r="AF44" s="138">
        <f>AG44+COUNTIF(AG3:AG44,AG44)-1</f>
        <v>42</v>
      </c>
      <c r="AG44" s="138">
        <f t="shared" si="38"/>
        <v>1</v>
      </c>
    </row>
    <row r="45" spans="2:33" x14ac:dyDescent="0.75">
      <c r="B45" s="115">
        <v>43</v>
      </c>
      <c r="C45" s="130">
        <f t="shared" si="25"/>
        <v>1</v>
      </c>
      <c r="D45" s="131" t="str">
        <f t="shared" si="26"/>
        <v>長久手A</v>
      </c>
      <c r="E45" s="130">
        <f t="shared" si="27"/>
        <v>43</v>
      </c>
      <c r="F45" s="131" t="str">
        <f t="shared" si="28"/>
        <v>芝田 典久</v>
      </c>
      <c r="G45" s="130" t="str">
        <f t="shared" si="29"/>
        <v>男</v>
      </c>
      <c r="H45" s="132">
        <f t="shared" si="5"/>
        <v>0</v>
      </c>
      <c r="I45" s="133">
        <f t="shared" si="12"/>
        <v>45</v>
      </c>
      <c r="J45" s="133" t="str">
        <f t="shared" si="13"/>
        <v/>
      </c>
      <c r="L45" s="134" t="str">
        <f t="shared" si="21"/>
        <v/>
      </c>
      <c r="M45" s="140" t="str">
        <f t="shared" si="30"/>
        <v/>
      </c>
      <c r="N45" s="141" t="str">
        <f t="shared" si="31"/>
        <v/>
      </c>
      <c r="O45" s="142" t="str">
        <f t="shared" si="32"/>
        <v/>
      </c>
      <c r="P45" s="143" t="str">
        <f t="shared" si="33"/>
        <v/>
      </c>
      <c r="Q45" s="134" t="str">
        <f t="shared" si="22"/>
        <v/>
      </c>
      <c r="S45" s="134" t="str">
        <f t="shared" si="23"/>
        <v/>
      </c>
      <c r="T45" s="140" t="str">
        <f t="shared" si="34"/>
        <v/>
      </c>
      <c r="U45" s="141" t="str">
        <f t="shared" si="35"/>
        <v/>
      </c>
      <c r="V45" s="142" t="str">
        <f t="shared" si="36"/>
        <v/>
      </c>
      <c r="W45" s="143" t="str">
        <f t="shared" si="37"/>
        <v/>
      </c>
      <c r="X45" s="134" t="str">
        <f t="shared" si="24"/>
        <v/>
      </c>
      <c r="Z45" s="137" t="str">
        <f>IF(選手!L4="","",選手!L4)</f>
        <v>長久手A</v>
      </c>
      <c r="AA45" s="137">
        <f>IF(選手!M4="","",選手!M4)</f>
        <v>43</v>
      </c>
      <c r="AB45" s="138" t="str">
        <f>IF(選手!N4="","",選手!N4)</f>
        <v>芝田 典久</v>
      </c>
      <c r="AC45" s="137" t="str">
        <f>IF(選手!O4="","",選手!O4)</f>
        <v>男</v>
      </c>
      <c r="AD45" s="139">
        <f>記録!P41</f>
        <v>0</v>
      </c>
      <c r="AE45" s="138">
        <f>記録!P40</f>
        <v>0.1</v>
      </c>
      <c r="AF45" s="138">
        <f>AG45+COUNTIF(AG3:AG45,AG45)-1</f>
        <v>43</v>
      </c>
      <c r="AG45" s="138">
        <f t="shared" si="38"/>
        <v>1</v>
      </c>
    </row>
    <row r="46" spans="2:33" x14ac:dyDescent="0.75">
      <c r="B46" s="115">
        <v>44</v>
      </c>
      <c r="C46" s="130">
        <f t="shared" si="25"/>
        <v>1</v>
      </c>
      <c r="D46" s="131" t="str">
        <f t="shared" si="26"/>
        <v>長久手A</v>
      </c>
      <c r="E46" s="130">
        <f t="shared" si="27"/>
        <v>44</v>
      </c>
      <c r="F46" s="131" t="str">
        <f t="shared" si="28"/>
        <v>松井 忠志</v>
      </c>
      <c r="G46" s="130" t="str">
        <f t="shared" si="29"/>
        <v>男</v>
      </c>
      <c r="H46" s="132">
        <f t="shared" si="5"/>
        <v>0</v>
      </c>
      <c r="I46" s="133">
        <f t="shared" si="12"/>
        <v>46</v>
      </c>
      <c r="J46" s="133" t="str">
        <f t="shared" si="13"/>
        <v/>
      </c>
      <c r="L46" s="134" t="str">
        <f t="shared" si="21"/>
        <v/>
      </c>
      <c r="M46" s="140" t="str">
        <f t="shared" si="30"/>
        <v/>
      </c>
      <c r="N46" s="141" t="str">
        <f t="shared" si="31"/>
        <v/>
      </c>
      <c r="O46" s="142" t="str">
        <f t="shared" si="32"/>
        <v/>
      </c>
      <c r="P46" s="143" t="str">
        <f t="shared" si="33"/>
        <v/>
      </c>
      <c r="Q46" s="134" t="str">
        <f t="shared" si="22"/>
        <v/>
      </c>
      <c r="S46" s="134" t="str">
        <f t="shared" si="23"/>
        <v/>
      </c>
      <c r="T46" s="140" t="str">
        <f t="shared" si="34"/>
        <v/>
      </c>
      <c r="U46" s="141" t="str">
        <f t="shared" si="35"/>
        <v/>
      </c>
      <c r="V46" s="142" t="str">
        <f t="shared" si="36"/>
        <v/>
      </c>
      <c r="W46" s="143" t="str">
        <f t="shared" si="37"/>
        <v/>
      </c>
      <c r="X46" s="134" t="str">
        <f t="shared" si="24"/>
        <v/>
      </c>
      <c r="Z46" s="137" t="str">
        <f>IF(選手!L5="","",選手!L5)</f>
        <v>長久手A</v>
      </c>
      <c r="AA46" s="137">
        <f>IF(選手!M5="","",選手!M5)</f>
        <v>44</v>
      </c>
      <c r="AB46" s="138" t="str">
        <f>IF(選手!N5="","",選手!N5)</f>
        <v>松井 忠志</v>
      </c>
      <c r="AC46" s="137" t="str">
        <f>IF(選手!O5="","",選手!O5)</f>
        <v>男</v>
      </c>
      <c r="AD46" s="139">
        <f>記録!O41</f>
        <v>0</v>
      </c>
      <c r="AE46" s="138">
        <f>記録!O40</f>
        <v>0.1</v>
      </c>
      <c r="AF46" s="138">
        <f>AG46+COUNTIF(AG3:AG46,AG46)-1</f>
        <v>44</v>
      </c>
      <c r="AG46" s="138">
        <f t="shared" si="38"/>
        <v>1</v>
      </c>
    </row>
    <row r="47" spans="2:33" x14ac:dyDescent="0.75">
      <c r="B47" s="115">
        <v>45</v>
      </c>
      <c r="C47" s="130">
        <f t="shared" si="25"/>
        <v>1</v>
      </c>
      <c r="D47" s="131" t="str">
        <f t="shared" si="26"/>
        <v>長久手B</v>
      </c>
      <c r="E47" s="130">
        <f t="shared" si="27"/>
        <v>45</v>
      </c>
      <c r="F47" s="131" t="str">
        <f t="shared" si="28"/>
        <v>山越 一江</v>
      </c>
      <c r="G47" s="130" t="str">
        <f t="shared" si="29"/>
        <v>女</v>
      </c>
      <c r="H47" s="132">
        <f t="shared" si="5"/>
        <v>0</v>
      </c>
      <c r="I47" s="133" t="str">
        <f t="shared" si="12"/>
        <v/>
      </c>
      <c r="J47" s="133">
        <f t="shared" si="13"/>
        <v>47</v>
      </c>
      <c r="L47" s="134" t="str">
        <f t="shared" si="21"/>
        <v/>
      </c>
      <c r="M47" s="140" t="str">
        <f t="shared" si="30"/>
        <v/>
      </c>
      <c r="N47" s="141" t="str">
        <f t="shared" si="31"/>
        <v/>
      </c>
      <c r="O47" s="142" t="str">
        <f t="shared" si="32"/>
        <v/>
      </c>
      <c r="P47" s="143" t="str">
        <f t="shared" si="33"/>
        <v/>
      </c>
      <c r="Q47" s="134" t="str">
        <f t="shared" si="22"/>
        <v/>
      </c>
      <c r="S47" s="134" t="str">
        <f t="shared" si="23"/>
        <v/>
      </c>
      <c r="T47" s="140" t="str">
        <f t="shared" si="34"/>
        <v/>
      </c>
      <c r="U47" s="141" t="str">
        <f t="shared" si="35"/>
        <v/>
      </c>
      <c r="V47" s="142" t="str">
        <f t="shared" si="36"/>
        <v/>
      </c>
      <c r="W47" s="143" t="str">
        <f t="shared" si="37"/>
        <v/>
      </c>
      <c r="X47" s="134" t="str">
        <f t="shared" si="24"/>
        <v/>
      </c>
      <c r="Z47" s="137" t="str">
        <f>IF(選手!L6="","",選手!L6)</f>
        <v>長久手B</v>
      </c>
      <c r="AA47" s="137">
        <f>IF(選手!M6="","",選手!M6)</f>
        <v>45</v>
      </c>
      <c r="AB47" s="138" t="str">
        <f>IF(選手!N6="","",選手!N6)</f>
        <v>山越 一江</v>
      </c>
      <c r="AC47" s="137" t="str">
        <f>IF(選手!O6="","",選手!O6)</f>
        <v>女</v>
      </c>
      <c r="AD47" s="139">
        <f>記録!N41</f>
        <v>0</v>
      </c>
      <c r="AE47" s="138">
        <f>記録!N40</f>
        <v>0.1</v>
      </c>
      <c r="AF47" s="138">
        <f>AG47+COUNTIF(AG3:AG47,AG47)-1</f>
        <v>45</v>
      </c>
      <c r="AG47" s="138">
        <f t="shared" si="38"/>
        <v>1</v>
      </c>
    </row>
    <row r="48" spans="2:33" x14ac:dyDescent="0.75">
      <c r="B48" s="115">
        <v>46</v>
      </c>
      <c r="C48" s="130">
        <f t="shared" si="25"/>
        <v>1</v>
      </c>
      <c r="D48" s="131" t="str">
        <f t="shared" si="26"/>
        <v>長久手B</v>
      </c>
      <c r="E48" s="130">
        <f t="shared" si="27"/>
        <v>46</v>
      </c>
      <c r="F48" s="131" t="str">
        <f t="shared" si="28"/>
        <v>澤田 圭子</v>
      </c>
      <c r="G48" s="130" t="str">
        <f t="shared" si="29"/>
        <v>女</v>
      </c>
      <c r="H48" s="132">
        <f t="shared" si="5"/>
        <v>0</v>
      </c>
      <c r="I48" s="133" t="str">
        <f t="shared" si="12"/>
        <v/>
      </c>
      <c r="J48" s="133">
        <f t="shared" si="13"/>
        <v>48</v>
      </c>
      <c r="L48" s="134" t="str">
        <f t="shared" si="21"/>
        <v/>
      </c>
      <c r="M48" s="140" t="str">
        <f t="shared" si="30"/>
        <v/>
      </c>
      <c r="N48" s="141" t="str">
        <f t="shared" si="31"/>
        <v/>
      </c>
      <c r="O48" s="142" t="str">
        <f t="shared" si="32"/>
        <v/>
      </c>
      <c r="P48" s="143" t="str">
        <f t="shared" si="33"/>
        <v/>
      </c>
      <c r="Q48" s="134" t="str">
        <f t="shared" si="22"/>
        <v/>
      </c>
      <c r="S48" s="134" t="str">
        <f t="shared" si="23"/>
        <v/>
      </c>
      <c r="T48" s="140" t="str">
        <f t="shared" si="34"/>
        <v/>
      </c>
      <c r="U48" s="141" t="str">
        <f t="shared" si="35"/>
        <v/>
      </c>
      <c r="V48" s="142" t="str">
        <f t="shared" si="36"/>
        <v/>
      </c>
      <c r="W48" s="143" t="str">
        <f t="shared" si="37"/>
        <v/>
      </c>
      <c r="X48" s="134" t="str">
        <f t="shared" si="24"/>
        <v/>
      </c>
      <c r="Z48" s="137" t="str">
        <f>IF(選手!L7="","",選手!L7)</f>
        <v>長久手B</v>
      </c>
      <c r="AA48" s="137">
        <f>IF(選手!M7="","",選手!M7)</f>
        <v>46</v>
      </c>
      <c r="AB48" s="138" t="str">
        <f>IF(選手!N7="","",選手!N7)</f>
        <v>澤田 圭子</v>
      </c>
      <c r="AC48" s="137" t="str">
        <f>IF(選手!O7="","",選手!O7)</f>
        <v>女</v>
      </c>
      <c r="AD48" s="139">
        <f>記録!M41</f>
        <v>0</v>
      </c>
      <c r="AE48" s="138">
        <f>記録!M40</f>
        <v>0.1</v>
      </c>
      <c r="AF48" s="138">
        <f>AG48+COUNTIF(AG3:AG48,AG48)-1</f>
        <v>46</v>
      </c>
      <c r="AG48" s="138">
        <f t="shared" si="38"/>
        <v>1</v>
      </c>
    </row>
    <row r="49" spans="2:33" x14ac:dyDescent="0.75">
      <c r="B49" s="115">
        <v>47</v>
      </c>
      <c r="C49" s="130">
        <f t="shared" si="25"/>
        <v>1</v>
      </c>
      <c r="D49" s="131" t="str">
        <f t="shared" si="26"/>
        <v>長久手B</v>
      </c>
      <c r="E49" s="130">
        <f t="shared" si="27"/>
        <v>47</v>
      </c>
      <c r="F49" s="131" t="str">
        <f t="shared" si="28"/>
        <v>水野 三穂</v>
      </c>
      <c r="G49" s="130" t="str">
        <f t="shared" si="29"/>
        <v>女</v>
      </c>
      <c r="H49" s="132">
        <f t="shared" si="5"/>
        <v>0</v>
      </c>
      <c r="I49" s="133" t="str">
        <f t="shared" si="12"/>
        <v/>
      </c>
      <c r="J49" s="133">
        <f t="shared" si="13"/>
        <v>49</v>
      </c>
      <c r="L49" s="134" t="str">
        <f t="shared" si="21"/>
        <v/>
      </c>
      <c r="M49" s="140" t="str">
        <f t="shared" si="30"/>
        <v/>
      </c>
      <c r="N49" s="141" t="str">
        <f t="shared" si="31"/>
        <v/>
      </c>
      <c r="O49" s="142" t="str">
        <f t="shared" si="32"/>
        <v/>
      </c>
      <c r="P49" s="143" t="str">
        <f t="shared" si="33"/>
        <v/>
      </c>
      <c r="Q49" s="134" t="str">
        <f t="shared" si="22"/>
        <v/>
      </c>
      <c r="S49" s="134" t="str">
        <f t="shared" si="23"/>
        <v/>
      </c>
      <c r="T49" s="140" t="str">
        <f t="shared" si="34"/>
        <v/>
      </c>
      <c r="U49" s="141" t="str">
        <f t="shared" si="35"/>
        <v/>
      </c>
      <c r="V49" s="142" t="str">
        <f t="shared" si="36"/>
        <v/>
      </c>
      <c r="W49" s="143" t="str">
        <f t="shared" si="37"/>
        <v/>
      </c>
      <c r="X49" s="134" t="str">
        <f t="shared" si="24"/>
        <v/>
      </c>
      <c r="Z49" s="137" t="str">
        <f>IF(選手!L8="","",選手!L8)</f>
        <v>長久手B</v>
      </c>
      <c r="AA49" s="137">
        <f>IF(選手!M8="","",選手!M8)</f>
        <v>47</v>
      </c>
      <c r="AB49" s="138" t="str">
        <f>IF(選手!N8="","",選手!N8)</f>
        <v>水野 三穂</v>
      </c>
      <c r="AC49" s="137" t="str">
        <f>IF(選手!O8="","",選手!O8)</f>
        <v>女</v>
      </c>
      <c r="AD49" s="139">
        <f>記録!L41</f>
        <v>0</v>
      </c>
      <c r="AE49" s="138">
        <f>記録!L40</f>
        <v>0.1</v>
      </c>
      <c r="AF49" s="138">
        <f>AG49+COUNTIF(AG3:AG49,AG49)-1</f>
        <v>47</v>
      </c>
      <c r="AG49" s="138">
        <f t="shared" si="38"/>
        <v>1</v>
      </c>
    </row>
    <row r="50" spans="2:33" x14ac:dyDescent="0.75">
      <c r="B50" s="115">
        <v>48</v>
      </c>
      <c r="C50" s="130">
        <f t="shared" si="25"/>
        <v>1</v>
      </c>
      <c r="D50" s="131" t="str">
        <f t="shared" si="26"/>
        <v>長久手B</v>
      </c>
      <c r="E50" s="130">
        <f t="shared" si="27"/>
        <v>48</v>
      </c>
      <c r="F50" s="131" t="str">
        <f t="shared" si="28"/>
        <v>野々垣 奈緒子</v>
      </c>
      <c r="G50" s="130" t="str">
        <f t="shared" si="29"/>
        <v>女</v>
      </c>
      <c r="H50" s="132">
        <f t="shared" si="5"/>
        <v>0</v>
      </c>
      <c r="I50" s="133" t="str">
        <f t="shared" si="12"/>
        <v/>
      </c>
      <c r="J50" s="133">
        <f t="shared" si="13"/>
        <v>50</v>
      </c>
      <c r="L50" s="134" t="str">
        <f t="shared" si="21"/>
        <v/>
      </c>
      <c r="M50" s="140" t="str">
        <f t="shared" si="30"/>
        <v/>
      </c>
      <c r="N50" s="141" t="str">
        <f t="shared" si="31"/>
        <v/>
      </c>
      <c r="O50" s="142" t="str">
        <f t="shared" si="32"/>
        <v/>
      </c>
      <c r="P50" s="143" t="str">
        <f t="shared" si="33"/>
        <v/>
      </c>
      <c r="Q50" s="134" t="str">
        <f t="shared" si="22"/>
        <v/>
      </c>
      <c r="S50" s="134" t="str">
        <f t="shared" si="23"/>
        <v/>
      </c>
      <c r="T50" s="140" t="str">
        <f t="shared" si="34"/>
        <v/>
      </c>
      <c r="U50" s="141" t="str">
        <f t="shared" si="35"/>
        <v/>
      </c>
      <c r="V50" s="142" t="str">
        <f t="shared" si="36"/>
        <v/>
      </c>
      <c r="W50" s="143" t="str">
        <f t="shared" si="37"/>
        <v/>
      </c>
      <c r="X50" s="134" t="str">
        <f t="shared" si="24"/>
        <v/>
      </c>
      <c r="Z50" s="137" t="str">
        <f>IF(選手!L9="","",選手!L9)</f>
        <v>長久手B</v>
      </c>
      <c r="AA50" s="137">
        <f>IF(選手!M9="","",選手!M9)</f>
        <v>48</v>
      </c>
      <c r="AB50" s="138" t="str">
        <f>IF(選手!N9="","",選手!N9)</f>
        <v>野々垣 奈緒子</v>
      </c>
      <c r="AC50" s="137" t="str">
        <f>IF(選手!O9="","",選手!O9)</f>
        <v>女</v>
      </c>
      <c r="AD50" s="139">
        <f>記録!K41</f>
        <v>0</v>
      </c>
      <c r="AE50" s="138">
        <f>記録!K40</f>
        <v>0.1</v>
      </c>
      <c r="AF50" s="138">
        <f>AG50+COUNTIF(AG3:AG50,AG50)-1</f>
        <v>48</v>
      </c>
      <c r="AG50" s="138">
        <f t="shared" si="38"/>
        <v>1</v>
      </c>
    </row>
    <row r="51" spans="2:33" x14ac:dyDescent="0.75">
      <c r="B51" s="115">
        <v>49</v>
      </c>
      <c r="C51" s="130">
        <f t="shared" si="25"/>
        <v>1</v>
      </c>
      <c r="D51" s="131" t="str">
        <f t="shared" si="26"/>
        <v>豊明A</v>
      </c>
      <c r="E51" s="130">
        <f t="shared" si="27"/>
        <v>49</v>
      </c>
      <c r="F51" s="131" t="str">
        <f t="shared" si="28"/>
        <v>榊原 隆一</v>
      </c>
      <c r="G51" s="130" t="str">
        <f t="shared" si="29"/>
        <v>男</v>
      </c>
      <c r="H51" s="132">
        <f t="shared" si="5"/>
        <v>0</v>
      </c>
      <c r="I51" s="133">
        <f t="shared" si="12"/>
        <v>51</v>
      </c>
      <c r="J51" s="133" t="str">
        <f t="shared" si="13"/>
        <v/>
      </c>
      <c r="L51" s="134" t="str">
        <f t="shared" si="21"/>
        <v/>
      </c>
      <c r="M51" s="140" t="str">
        <f t="shared" si="30"/>
        <v/>
      </c>
      <c r="N51" s="141" t="str">
        <f t="shared" si="31"/>
        <v/>
      </c>
      <c r="O51" s="142" t="str">
        <f t="shared" si="32"/>
        <v/>
      </c>
      <c r="P51" s="143" t="str">
        <f t="shared" si="33"/>
        <v/>
      </c>
      <c r="Q51" s="134" t="str">
        <f t="shared" si="22"/>
        <v/>
      </c>
      <c r="S51" s="134" t="str">
        <f t="shared" si="23"/>
        <v/>
      </c>
      <c r="T51" s="140" t="str">
        <f t="shared" si="34"/>
        <v/>
      </c>
      <c r="U51" s="141" t="str">
        <f t="shared" si="35"/>
        <v/>
      </c>
      <c r="V51" s="142" t="str">
        <f t="shared" si="36"/>
        <v/>
      </c>
      <c r="W51" s="143" t="str">
        <f t="shared" si="37"/>
        <v/>
      </c>
      <c r="X51" s="134" t="str">
        <f t="shared" si="24"/>
        <v/>
      </c>
      <c r="Z51" s="137" t="str">
        <f>IF(選手!L10="","",選手!L10)</f>
        <v>豊明A</v>
      </c>
      <c r="AA51" s="137">
        <f>IF(選手!M10="","",選手!M10)</f>
        <v>49</v>
      </c>
      <c r="AB51" s="138" t="str">
        <f>IF(選手!N10="","",選手!N10)</f>
        <v>榊原 隆一</v>
      </c>
      <c r="AC51" s="137" t="str">
        <f>IF(選手!O10="","",選手!O10)</f>
        <v>男</v>
      </c>
      <c r="AD51" s="139">
        <f>記録!J41</f>
        <v>0</v>
      </c>
      <c r="AE51" s="138">
        <f>記録!J40</f>
        <v>0.1</v>
      </c>
      <c r="AF51" s="138">
        <f>AG51+COUNTIF(AG3:AG51,AG51)-1</f>
        <v>49</v>
      </c>
      <c r="AG51" s="138">
        <f t="shared" si="38"/>
        <v>1</v>
      </c>
    </row>
    <row r="52" spans="2:33" x14ac:dyDescent="0.75">
      <c r="B52" s="115">
        <v>50</v>
      </c>
      <c r="C52" s="130">
        <f t="shared" si="25"/>
        <v>1</v>
      </c>
      <c r="D52" s="131" t="str">
        <f t="shared" si="26"/>
        <v>豊明A</v>
      </c>
      <c r="E52" s="130">
        <f t="shared" si="27"/>
        <v>50</v>
      </c>
      <c r="F52" s="131" t="str">
        <f t="shared" si="28"/>
        <v>堀 隆教</v>
      </c>
      <c r="G52" s="130" t="str">
        <f t="shared" si="29"/>
        <v>男</v>
      </c>
      <c r="H52" s="132">
        <f t="shared" si="5"/>
        <v>0</v>
      </c>
      <c r="I52" s="133">
        <f t="shared" si="12"/>
        <v>52</v>
      </c>
      <c r="J52" s="133" t="str">
        <f t="shared" si="13"/>
        <v/>
      </c>
      <c r="L52" s="134" t="str">
        <f t="shared" si="21"/>
        <v/>
      </c>
      <c r="M52" s="140" t="str">
        <f t="shared" si="30"/>
        <v/>
      </c>
      <c r="N52" s="141" t="str">
        <f t="shared" si="31"/>
        <v/>
      </c>
      <c r="O52" s="142" t="str">
        <f t="shared" si="32"/>
        <v/>
      </c>
      <c r="P52" s="143" t="str">
        <f t="shared" si="33"/>
        <v/>
      </c>
      <c r="Q52" s="134" t="str">
        <f t="shared" si="22"/>
        <v/>
      </c>
      <c r="S52" s="134" t="str">
        <f t="shared" si="23"/>
        <v/>
      </c>
      <c r="T52" s="140" t="str">
        <f t="shared" si="34"/>
        <v/>
      </c>
      <c r="U52" s="141" t="str">
        <f t="shared" si="35"/>
        <v/>
      </c>
      <c r="V52" s="142" t="str">
        <f t="shared" si="36"/>
        <v/>
      </c>
      <c r="W52" s="143" t="str">
        <f t="shared" si="37"/>
        <v/>
      </c>
      <c r="X52" s="134" t="str">
        <f t="shared" si="24"/>
        <v/>
      </c>
      <c r="Z52" s="137" t="str">
        <f>IF(選手!L11="","",選手!L11)</f>
        <v>豊明A</v>
      </c>
      <c r="AA52" s="137">
        <f>IF(選手!M11="","",選手!M11)</f>
        <v>50</v>
      </c>
      <c r="AB52" s="138" t="str">
        <f>IF(選手!N11="","",選手!N11)</f>
        <v>堀 隆教</v>
      </c>
      <c r="AC52" s="137" t="str">
        <f>IF(選手!O11="","",選手!O11)</f>
        <v>男</v>
      </c>
      <c r="AD52" s="139">
        <f>記録!I41</f>
        <v>0</v>
      </c>
      <c r="AE52" s="138">
        <f>記録!I40</f>
        <v>0.1</v>
      </c>
      <c r="AF52" s="138">
        <f>AG52+COUNTIF(AG3:AG52,AG52)-1</f>
        <v>50</v>
      </c>
      <c r="AG52" s="138">
        <f t="shared" si="38"/>
        <v>1</v>
      </c>
    </row>
    <row r="53" spans="2:33" x14ac:dyDescent="0.75">
      <c r="B53" s="115">
        <v>51</v>
      </c>
      <c r="C53" s="130">
        <f t="shared" si="25"/>
        <v>1</v>
      </c>
      <c r="D53" s="131" t="str">
        <f t="shared" si="26"/>
        <v>豊明A</v>
      </c>
      <c r="E53" s="130">
        <f t="shared" si="27"/>
        <v>51</v>
      </c>
      <c r="F53" s="131" t="str">
        <f t="shared" si="28"/>
        <v>近藤 治</v>
      </c>
      <c r="G53" s="130" t="str">
        <f t="shared" si="29"/>
        <v>男</v>
      </c>
      <c r="H53" s="132">
        <f t="shared" si="5"/>
        <v>0</v>
      </c>
      <c r="I53" s="133">
        <f t="shared" si="12"/>
        <v>53</v>
      </c>
      <c r="J53" s="133" t="str">
        <f t="shared" si="13"/>
        <v/>
      </c>
      <c r="L53" s="134" t="str">
        <f t="shared" si="21"/>
        <v/>
      </c>
      <c r="M53" s="140" t="str">
        <f t="shared" si="30"/>
        <v/>
      </c>
      <c r="N53" s="141" t="str">
        <f t="shared" si="31"/>
        <v/>
      </c>
      <c r="O53" s="142" t="str">
        <f t="shared" si="32"/>
        <v/>
      </c>
      <c r="P53" s="143" t="str">
        <f t="shared" si="33"/>
        <v/>
      </c>
      <c r="Q53" s="134" t="str">
        <f t="shared" si="22"/>
        <v/>
      </c>
      <c r="S53" s="134" t="str">
        <f t="shared" si="23"/>
        <v/>
      </c>
      <c r="T53" s="140" t="str">
        <f t="shared" si="34"/>
        <v/>
      </c>
      <c r="U53" s="141" t="str">
        <f t="shared" si="35"/>
        <v/>
      </c>
      <c r="V53" s="142" t="str">
        <f t="shared" si="36"/>
        <v/>
      </c>
      <c r="W53" s="143" t="str">
        <f t="shared" si="37"/>
        <v/>
      </c>
      <c r="X53" s="134" t="str">
        <f t="shared" si="24"/>
        <v/>
      </c>
      <c r="Z53" s="137" t="str">
        <f>IF(選手!L12="","",選手!L12)</f>
        <v>豊明A</v>
      </c>
      <c r="AA53" s="137">
        <f>IF(選手!M12="","",選手!M12)</f>
        <v>51</v>
      </c>
      <c r="AB53" s="138" t="str">
        <f>IF(選手!N12="","",選手!N12)</f>
        <v>近藤 治</v>
      </c>
      <c r="AC53" s="137" t="str">
        <f>IF(選手!O12="","",選手!O12)</f>
        <v>男</v>
      </c>
      <c r="AD53" s="139">
        <f>記録!H41</f>
        <v>0</v>
      </c>
      <c r="AE53" s="138">
        <f>記録!H40</f>
        <v>0.1</v>
      </c>
      <c r="AF53" s="138">
        <f>AG53+COUNTIF(AG3:AG53,AG53)-1</f>
        <v>51</v>
      </c>
      <c r="AG53" s="138">
        <f t="shared" si="38"/>
        <v>1</v>
      </c>
    </row>
    <row r="54" spans="2:33" x14ac:dyDescent="0.75">
      <c r="B54" s="115">
        <v>52</v>
      </c>
      <c r="C54" s="130">
        <f t="shared" si="25"/>
        <v>1</v>
      </c>
      <c r="D54" s="131" t="str">
        <f t="shared" si="26"/>
        <v>豊明A</v>
      </c>
      <c r="E54" s="130">
        <f t="shared" si="27"/>
        <v>52</v>
      </c>
      <c r="F54" s="131" t="str">
        <f t="shared" si="28"/>
        <v>園田 敏雄</v>
      </c>
      <c r="G54" s="130" t="str">
        <f t="shared" si="29"/>
        <v>男</v>
      </c>
      <c r="H54" s="132">
        <f t="shared" si="5"/>
        <v>0</v>
      </c>
      <c r="I54" s="133">
        <f t="shared" si="12"/>
        <v>54</v>
      </c>
      <c r="J54" s="133" t="str">
        <f t="shared" si="13"/>
        <v/>
      </c>
      <c r="L54" s="134" t="str">
        <f t="shared" si="21"/>
        <v/>
      </c>
      <c r="M54" s="140" t="str">
        <f t="shared" si="30"/>
        <v/>
      </c>
      <c r="N54" s="141" t="str">
        <f t="shared" si="31"/>
        <v/>
      </c>
      <c r="O54" s="142" t="str">
        <f t="shared" si="32"/>
        <v/>
      </c>
      <c r="P54" s="143" t="str">
        <f t="shared" si="33"/>
        <v/>
      </c>
      <c r="Q54" s="134" t="str">
        <f t="shared" si="22"/>
        <v/>
      </c>
      <c r="S54" s="134" t="str">
        <f t="shared" si="23"/>
        <v/>
      </c>
      <c r="T54" s="140" t="str">
        <f t="shared" si="34"/>
        <v/>
      </c>
      <c r="U54" s="141" t="str">
        <f t="shared" si="35"/>
        <v/>
      </c>
      <c r="V54" s="142" t="str">
        <f t="shared" si="36"/>
        <v/>
      </c>
      <c r="W54" s="143" t="str">
        <f t="shared" si="37"/>
        <v/>
      </c>
      <c r="X54" s="134" t="str">
        <f t="shared" si="24"/>
        <v/>
      </c>
      <c r="Z54" s="137" t="str">
        <f>IF(選手!L13="","",選手!L13)</f>
        <v>豊明A</v>
      </c>
      <c r="AA54" s="137">
        <f>IF(選手!M13="","",選手!M13)</f>
        <v>52</v>
      </c>
      <c r="AB54" s="138" t="str">
        <f>IF(選手!N13="","",選手!N13)</f>
        <v>園田 敏雄</v>
      </c>
      <c r="AC54" s="137" t="str">
        <f>IF(選手!O13="","",選手!O13)</f>
        <v>男</v>
      </c>
      <c r="AD54" s="139">
        <f>記録!G41</f>
        <v>0</v>
      </c>
      <c r="AE54" s="138">
        <f>記録!G40</f>
        <v>0.1</v>
      </c>
      <c r="AF54" s="138">
        <f>AG54+COUNTIF(AG3:AG54,AG54)-1</f>
        <v>52</v>
      </c>
      <c r="AG54" s="138">
        <f t="shared" si="38"/>
        <v>1</v>
      </c>
    </row>
    <row r="55" spans="2:33" x14ac:dyDescent="0.75">
      <c r="B55" s="115">
        <v>53</v>
      </c>
      <c r="C55" s="130">
        <f t="shared" si="25"/>
        <v>1</v>
      </c>
      <c r="D55" s="131" t="str">
        <f t="shared" si="26"/>
        <v>豊明B</v>
      </c>
      <c r="E55" s="130">
        <f t="shared" si="27"/>
        <v>53</v>
      </c>
      <c r="F55" s="131" t="str">
        <f t="shared" si="28"/>
        <v>安藤 雅子</v>
      </c>
      <c r="G55" s="130" t="str">
        <f t="shared" si="29"/>
        <v>女</v>
      </c>
      <c r="H55" s="132">
        <f t="shared" si="5"/>
        <v>0</v>
      </c>
      <c r="I55" s="133" t="str">
        <f t="shared" si="12"/>
        <v/>
      </c>
      <c r="J55" s="133">
        <f t="shared" si="13"/>
        <v>55</v>
      </c>
      <c r="L55" s="134" t="str">
        <f t="shared" si="21"/>
        <v/>
      </c>
      <c r="M55" s="140" t="str">
        <f t="shared" si="30"/>
        <v/>
      </c>
      <c r="N55" s="141" t="str">
        <f t="shared" si="31"/>
        <v/>
      </c>
      <c r="O55" s="142" t="str">
        <f t="shared" si="32"/>
        <v/>
      </c>
      <c r="P55" s="143" t="str">
        <f t="shared" si="33"/>
        <v/>
      </c>
      <c r="Q55" s="134" t="str">
        <f t="shared" si="22"/>
        <v/>
      </c>
      <c r="S55" s="134" t="str">
        <f t="shared" si="23"/>
        <v/>
      </c>
      <c r="T55" s="140" t="str">
        <f t="shared" si="34"/>
        <v/>
      </c>
      <c r="U55" s="141" t="str">
        <f t="shared" si="35"/>
        <v/>
      </c>
      <c r="V55" s="142" t="str">
        <f t="shared" si="36"/>
        <v/>
      </c>
      <c r="W55" s="143" t="str">
        <f t="shared" si="37"/>
        <v/>
      </c>
      <c r="X55" s="134" t="str">
        <f t="shared" si="24"/>
        <v/>
      </c>
      <c r="Z55" s="137" t="str">
        <f>IF(選手!L14="","",選手!L14)</f>
        <v>豊明B</v>
      </c>
      <c r="AA55" s="137">
        <f>IF(選手!M14="","",選手!M14)</f>
        <v>53</v>
      </c>
      <c r="AB55" s="138" t="str">
        <f>IF(選手!N14="","",選手!N14)</f>
        <v>安藤 雅子</v>
      </c>
      <c r="AC55" s="137" t="str">
        <f>IF(選手!O14="","",選手!O14)</f>
        <v>女</v>
      </c>
      <c r="AD55" s="139">
        <f>記録!F41</f>
        <v>0</v>
      </c>
      <c r="AE55" s="138">
        <f>記録!F40</f>
        <v>0.1</v>
      </c>
      <c r="AF55" s="138">
        <f>AG55+COUNTIF(AG3:AG55,AG55)-1</f>
        <v>53</v>
      </c>
      <c r="AG55" s="138">
        <f t="shared" si="38"/>
        <v>1</v>
      </c>
    </row>
    <row r="56" spans="2:33" x14ac:dyDescent="0.75">
      <c r="B56" s="115">
        <v>54</v>
      </c>
      <c r="C56" s="130">
        <f t="shared" si="25"/>
        <v>1</v>
      </c>
      <c r="D56" s="131" t="str">
        <f t="shared" si="26"/>
        <v>豊明B</v>
      </c>
      <c r="E56" s="130">
        <f t="shared" si="27"/>
        <v>54</v>
      </c>
      <c r="F56" s="131" t="str">
        <f t="shared" si="28"/>
        <v>青松 未記</v>
      </c>
      <c r="G56" s="130" t="str">
        <f t="shared" si="29"/>
        <v>女</v>
      </c>
      <c r="H56" s="132">
        <f t="shared" si="5"/>
        <v>0</v>
      </c>
      <c r="I56" s="133" t="str">
        <f t="shared" si="12"/>
        <v/>
      </c>
      <c r="J56" s="133">
        <f t="shared" si="13"/>
        <v>56</v>
      </c>
      <c r="L56" s="134" t="str">
        <f t="shared" si="21"/>
        <v/>
      </c>
      <c r="M56" s="140" t="str">
        <f t="shared" si="30"/>
        <v/>
      </c>
      <c r="N56" s="141" t="str">
        <f t="shared" si="31"/>
        <v/>
      </c>
      <c r="O56" s="142" t="str">
        <f t="shared" si="32"/>
        <v/>
      </c>
      <c r="P56" s="143" t="str">
        <f t="shared" si="33"/>
        <v/>
      </c>
      <c r="Q56" s="134" t="str">
        <f t="shared" si="22"/>
        <v/>
      </c>
      <c r="S56" s="134" t="str">
        <f t="shared" si="23"/>
        <v/>
      </c>
      <c r="T56" s="140" t="str">
        <f t="shared" si="34"/>
        <v/>
      </c>
      <c r="U56" s="141" t="str">
        <f t="shared" si="35"/>
        <v/>
      </c>
      <c r="V56" s="142" t="str">
        <f t="shared" si="36"/>
        <v/>
      </c>
      <c r="W56" s="143" t="str">
        <f t="shared" si="37"/>
        <v/>
      </c>
      <c r="X56" s="134" t="str">
        <f t="shared" si="24"/>
        <v/>
      </c>
      <c r="Z56" s="137" t="str">
        <f>IF(選手!L15="","",選手!L15)</f>
        <v>豊明B</v>
      </c>
      <c r="AA56" s="137">
        <f>IF(選手!M15="","",選手!M15)</f>
        <v>54</v>
      </c>
      <c r="AB56" s="138" t="str">
        <f>IF(選手!N15="","",選手!N15)</f>
        <v>青松 未記</v>
      </c>
      <c r="AC56" s="137" t="str">
        <f>IF(選手!O15="","",選手!O15)</f>
        <v>女</v>
      </c>
      <c r="AD56" s="139">
        <f>記録!E41</f>
        <v>0</v>
      </c>
      <c r="AE56" s="138">
        <f>記録!E40</f>
        <v>0.1</v>
      </c>
      <c r="AF56" s="138">
        <f>AG56+COUNTIF(AG3:AG56,AG56)-1</f>
        <v>54</v>
      </c>
      <c r="AG56" s="138">
        <f t="shared" si="38"/>
        <v>1</v>
      </c>
    </row>
    <row r="57" spans="2:33" x14ac:dyDescent="0.75">
      <c r="B57" s="115">
        <v>55</v>
      </c>
      <c r="C57" s="130">
        <f t="shared" si="25"/>
        <v>1</v>
      </c>
      <c r="D57" s="131" t="str">
        <f t="shared" si="26"/>
        <v>豊明B</v>
      </c>
      <c r="E57" s="130">
        <f t="shared" si="27"/>
        <v>55</v>
      </c>
      <c r="F57" s="131" t="str">
        <f t="shared" si="28"/>
        <v>樋田 良子</v>
      </c>
      <c r="G57" s="130" t="str">
        <f t="shared" si="29"/>
        <v>女</v>
      </c>
      <c r="H57" s="132">
        <f t="shared" si="5"/>
        <v>0</v>
      </c>
      <c r="I57" s="133" t="str">
        <f t="shared" si="12"/>
        <v/>
      </c>
      <c r="J57" s="133">
        <f t="shared" si="13"/>
        <v>57</v>
      </c>
      <c r="L57" s="134" t="str">
        <f t="shared" si="21"/>
        <v/>
      </c>
      <c r="M57" s="140" t="str">
        <f t="shared" si="30"/>
        <v/>
      </c>
      <c r="N57" s="141" t="str">
        <f t="shared" si="31"/>
        <v/>
      </c>
      <c r="O57" s="142" t="str">
        <f t="shared" si="32"/>
        <v/>
      </c>
      <c r="P57" s="143" t="str">
        <f t="shared" si="33"/>
        <v/>
      </c>
      <c r="Q57" s="134" t="str">
        <f t="shared" si="22"/>
        <v/>
      </c>
      <c r="S57" s="134" t="str">
        <f t="shared" si="23"/>
        <v/>
      </c>
      <c r="T57" s="140" t="str">
        <f t="shared" si="34"/>
        <v/>
      </c>
      <c r="U57" s="141" t="str">
        <f t="shared" si="35"/>
        <v/>
      </c>
      <c r="V57" s="142" t="str">
        <f t="shared" si="36"/>
        <v/>
      </c>
      <c r="W57" s="143" t="str">
        <f t="shared" si="37"/>
        <v/>
      </c>
      <c r="X57" s="134" t="str">
        <f t="shared" si="24"/>
        <v/>
      </c>
      <c r="Z57" s="137" t="str">
        <f>IF(選手!L16="","",選手!L16)</f>
        <v>豊明B</v>
      </c>
      <c r="AA57" s="137">
        <f>IF(選手!M16="","",選手!M16)</f>
        <v>55</v>
      </c>
      <c r="AB57" s="138" t="str">
        <f>IF(選手!N16="","",選手!N16)</f>
        <v>樋田 良子</v>
      </c>
      <c r="AC57" s="137" t="str">
        <f>IF(選手!O16="","",選手!O16)</f>
        <v>女</v>
      </c>
      <c r="AD57" s="139">
        <f>記録!D41</f>
        <v>0</v>
      </c>
      <c r="AE57" s="138">
        <f>記録!D40</f>
        <v>0.1</v>
      </c>
      <c r="AF57" s="138">
        <f>AG57+COUNTIF(AG3:AG57,AG57)-1</f>
        <v>55</v>
      </c>
      <c r="AG57" s="138">
        <f t="shared" si="38"/>
        <v>1</v>
      </c>
    </row>
    <row r="58" spans="2:33" x14ac:dyDescent="0.75">
      <c r="B58" s="115">
        <v>56</v>
      </c>
      <c r="C58" s="130">
        <f t="shared" si="25"/>
        <v>1</v>
      </c>
      <c r="D58" s="131" t="str">
        <f t="shared" si="26"/>
        <v>豊明B</v>
      </c>
      <c r="E58" s="130">
        <f t="shared" si="27"/>
        <v>56</v>
      </c>
      <c r="F58" s="131" t="str">
        <f t="shared" si="28"/>
        <v>堀井 恵美子</v>
      </c>
      <c r="G58" s="130" t="str">
        <f t="shared" si="29"/>
        <v>女</v>
      </c>
      <c r="H58" s="132">
        <f t="shared" si="5"/>
        <v>0</v>
      </c>
      <c r="I58" s="133" t="str">
        <f t="shared" si="12"/>
        <v/>
      </c>
      <c r="J58" s="133">
        <f t="shared" si="13"/>
        <v>58</v>
      </c>
      <c r="L58" s="134" t="str">
        <f t="shared" si="21"/>
        <v/>
      </c>
      <c r="M58" s="140" t="str">
        <f t="shared" si="30"/>
        <v/>
      </c>
      <c r="N58" s="141" t="str">
        <f t="shared" si="31"/>
        <v/>
      </c>
      <c r="O58" s="142" t="str">
        <f t="shared" si="32"/>
        <v/>
      </c>
      <c r="P58" s="143" t="str">
        <f t="shared" si="33"/>
        <v/>
      </c>
      <c r="Q58" s="134" t="str">
        <f t="shared" si="22"/>
        <v/>
      </c>
      <c r="S58" s="134" t="str">
        <f t="shared" si="23"/>
        <v/>
      </c>
      <c r="T58" s="140" t="str">
        <f t="shared" si="34"/>
        <v/>
      </c>
      <c r="U58" s="141" t="str">
        <f t="shared" si="35"/>
        <v/>
      </c>
      <c r="V58" s="142" t="str">
        <f t="shared" si="36"/>
        <v/>
      </c>
      <c r="W58" s="143" t="str">
        <f t="shared" si="37"/>
        <v/>
      </c>
      <c r="X58" s="134" t="str">
        <f t="shared" si="24"/>
        <v/>
      </c>
      <c r="Z58" s="137" t="str">
        <f>IF(選手!L17="","",選手!L17)</f>
        <v>豊明B</v>
      </c>
      <c r="AA58" s="137">
        <f>IF(選手!M17="","",選手!M17)</f>
        <v>56</v>
      </c>
      <c r="AB58" s="138" t="str">
        <f>IF(選手!N17="","",選手!N17)</f>
        <v>堀井 恵美子</v>
      </c>
      <c r="AC58" s="137" t="str">
        <f>IF(選手!O17="","",選手!O17)</f>
        <v>女</v>
      </c>
      <c r="AD58" s="139">
        <f>記録!C41</f>
        <v>0</v>
      </c>
      <c r="AE58" s="138">
        <f>記録!C40</f>
        <v>0.1</v>
      </c>
      <c r="AF58" s="138">
        <f>AG58+COUNTIF(AG3:AG58,AG58)-1</f>
        <v>56</v>
      </c>
      <c r="AG58" s="138">
        <f t="shared" si="38"/>
        <v>1</v>
      </c>
    </row>
    <row r="59" spans="2:33" x14ac:dyDescent="0.75">
      <c r="B59" s="115">
        <v>57</v>
      </c>
      <c r="C59" s="130">
        <f t="shared" si="25"/>
        <v>1</v>
      </c>
      <c r="D59" s="131" t="str">
        <f t="shared" si="26"/>
        <v/>
      </c>
      <c r="E59" s="130" t="str">
        <f t="shared" si="27"/>
        <v/>
      </c>
      <c r="F59" s="131" t="str">
        <f t="shared" si="28"/>
        <v/>
      </c>
      <c r="G59" s="130" t="str">
        <f t="shared" si="29"/>
        <v/>
      </c>
      <c r="H59" s="132">
        <f t="shared" si="5"/>
        <v>0</v>
      </c>
      <c r="I59" s="133" t="str">
        <f t="shared" si="12"/>
        <v/>
      </c>
      <c r="J59" s="133" t="str">
        <f t="shared" si="13"/>
        <v/>
      </c>
      <c r="L59" s="134" t="str">
        <f t="shared" si="21"/>
        <v/>
      </c>
      <c r="M59" s="140" t="str">
        <f t="shared" si="30"/>
        <v/>
      </c>
      <c r="N59" s="141" t="str">
        <f t="shared" si="31"/>
        <v/>
      </c>
      <c r="O59" s="142" t="str">
        <f t="shared" si="32"/>
        <v/>
      </c>
      <c r="P59" s="143" t="str">
        <f t="shared" si="33"/>
        <v/>
      </c>
      <c r="Q59" s="134" t="str">
        <f t="shared" si="22"/>
        <v/>
      </c>
      <c r="S59" s="134" t="str">
        <f t="shared" si="23"/>
        <v/>
      </c>
      <c r="T59" s="140" t="str">
        <f t="shared" si="34"/>
        <v/>
      </c>
      <c r="U59" s="141" t="str">
        <f t="shared" si="35"/>
        <v/>
      </c>
      <c r="V59" s="142" t="str">
        <f t="shared" si="36"/>
        <v/>
      </c>
      <c r="W59" s="143" t="str">
        <f t="shared" si="37"/>
        <v/>
      </c>
      <c r="X59" s="134" t="str">
        <f t="shared" si="24"/>
        <v/>
      </c>
      <c r="Z59" s="137" t="str">
        <f>IF(選手!Q2="","",選手!Q2)</f>
        <v/>
      </c>
      <c r="AA59" s="137" t="str">
        <f>IF(選手!R2="","",選手!R2)</f>
        <v/>
      </c>
      <c r="AB59" s="138" t="str">
        <f>IF(選手!S2="","",選手!S2)</f>
        <v/>
      </c>
      <c r="AC59" s="137" t="str">
        <f>IF(選手!T2="","",選手!T2)</f>
        <v/>
      </c>
      <c r="AD59" s="139">
        <f>記録!AE41</f>
        <v>0</v>
      </c>
      <c r="AE59" s="138">
        <f>記録!AE40</f>
        <v>0.1</v>
      </c>
      <c r="AF59" s="138">
        <f>AG59+COUNTIF(AG3:AG59,AG59)-1</f>
        <v>57</v>
      </c>
      <c r="AG59" s="138">
        <f t="shared" si="38"/>
        <v>1</v>
      </c>
    </row>
    <row r="60" spans="2:33" x14ac:dyDescent="0.75">
      <c r="B60" s="115">
        <v>58</v>
      </c>
      <c r="C60" s="130">
        <f t="shared" si="25"/>
        <v>1</v>
      </c>
      <c r="D60" s="131" t="str">
        <f t="shared" si="26"/>
        <v/>
      </c>
      <c r="E60" s="130" t="str">
        <f t="shared" si="27"/>
        <v/>
      </c>
      <c r="F60" s="131" t="str">
        <f t="shared" si="28"/>
        <v/>
      </c>
      <c r="G60" s="130" t="str">
        <f t="shared" si="29"/>
        <v/>
      </c>
      <c r="H60" s="132">
        <f t="shared" si="5"/>
        <v>0</v>
      </c>
      <c r="I60" s="133" t="str">
        <f t="shared" si="12"/>
        <v/>
      </c>
      <c r="J60" s="133" t="str">
        <f t="shared" si="13"/>
        <v/>
      </c>
      <c r="L60" s="134" t="str">
        <f t="shared" si="21"/>
        <v/>
      </c>
      <c r="M60" s="140" t="str">
        <f t="shared" si="30"/>
        <v/>
      </c>
      <c r="N60" s="141" t="str">
        <f t="shared" si="31"/>
        <v/>
      </c>
      <c r="O60" s="142" t="str">
        <f t="shared" si="32"/>
        <v/>
      </c>
      <c r="P60" s="143" t="str">
        <f t="shared" si="33"/>
        <v/>
      </c>
      <c r="Q60" s="134" t="str">
        <f t="shared" si="22"/>
        <v/>
      </c>
      <c r="S60" s="134" t="str">
        <f t="shared" si="23"/>
        <v/>
      </c>
      <c r="T60" s="140" t="str">
        <f t="shared" si="34"/>
        <v/>
      </c>
      <c r="U60" s="141" t="str">
        <f t="shared" si="35"/>
        <v/>
      </c>
      <c r="V60" s="142" t="str">
        <f t="shared" si="36"/>
        <v/>
      </c>
      <c r="W60" s="143" t="str">
        <f t="shared" si="37"/>
        <v/>
      </c>
      <c r="X60" s="134" t="str">
        <f t="shared" si="24"/>
        <v/>
      </c>
      <c r="Z60" s="137" t="str">
        <f>IF(選手!Q3="","",選手!Q3)</f>
        <v/>
      </c>
      <c r="AA60" s="137" t="str">
        <f>IF(選手!R3="","",選手!R3)</f>
        <v/>
      </c>
      <c r="AB60" s="138" t="str">
        <f>IF(選手!S3="","",選手!S3)</f>
        <v/>
      </c>
      <c r="AC60" s="137" t="str">
        <f>IF(選手!T3="","",選手!T3)</f>
        <v/>
      </c>
      <c r="AD60" s="139">
        <f>記録!AD41</f>
        <v>0</v>
      </c>
      <c r="AE60" s="138">
        <f>記録!AD40</f>
        <v>0.1</v>
      </c>
      <c r="AF60" s="138">
        <f>AG60+COUNTIF(AG3:AG60,AG60)-1</f>
        <v>58</v>
      </c>
      <c r="AG60" s="138">
        <f t="shared" si="38"/>
        <v>1</v>
      </c>
    </row>
    <row r="61" spans="2:33" x14ac:dyDescent="0.75">
      <c r="B61" s="115">
        <v>59</v>
      </c>
      <c r="C61" s="130">
        <f t="shared" si="25"/>
        <v>1</v>
      </c>
      <c r="D61" s="131" t="str">
        <f t="shared" si="26"/>
        <v/>
      </c>
      <c r="E61" s="130" t="str">
        <f t="shared" si="27"/>
        <v/>
      </c>
      <c r="F61" s="131" t="str">
        <f t="shared" si="28"/>
        <v/>
      </c>
      <c r="G61" s="130" t="str">
        <f t="shared" si="29"/>
        <v/>
      </c>
      <c r="H61" s="132">
        <f t="shared" si="5"/>
        <v>0</v>
      </c>
      <c r="I61" s="133" t="str">
        <f t="shared" si="12"/>
        <v/>
      </c>
      <c r="J61" s="133" t="str">
        <f t="shared" si="13"/>
        <v/>
      </c>
      <c r="L61" s="134" t="str">
        <f t="shared" si="21"/>
        <v/>
      </c>
      <c r="M61" s="140" t="str">
        <f t="shared" si="30"/>
        <v/>
      </c>
      <c r="N61" s="141" t="str">
        <f t="shared" si="31"/>
        <v/>
      </c>
      <c r="O61" s="142" t="str">
        <f t="shared" si="32"/>
        <v/>
      </c>
      <c r="P61" s="143" t="str">
        <f t="shared" si="33"/>
        <v/>
      </c>
      <c r="Q61" s="134" t="str">
        <f t="shared" si="22"/>
        <v/>
      </c>
      <c r="S61" s="134" t="str">
        <f t="shared" si="23"/>
        <v/>
      </c>
      <c r="T61" s="140" t="str">
        <f t="shared" si="34"/>
        <v/>
      </c>
      <c r="U61" s="141" t="str">
        <f t="shared" si="35"/>
        <v/>
      </c>
      <c r="V61" s="142" t="str">
        <f t="shared" si="36"/>
        <v/>
      </c>
      <c r="W61" s="143" t="str">
        <f t="shared" si="37"/>
        <v/>
      </c>
      <c r="X61" s="134" t="str">
        <f t="shared" si="24"/>
        <v/>
      </c>
      <c r="Z61" s="137" t="str">
        <f>IF(選手!Q4="","",選手!Q4)</f>
        <v/>
      </c>
      <c r="AA61" s="137" t="str">
        <f>IF(選手!R4="","",選手!R4)</f>
        <v/>
      </c>
      <c r="AB61" s="138" t="str">
        <f>IF(選手!S4="","",選手!S4)</f>
        <v/>
      </c>
      <c r="AC61" s="137" t="str">
        <f>IF(選手!T4="","",選手!T4)</f>
        <v/>
      </c>
      <c r="AD61" s="139">
        <f>記録!AC41</f>
        <v>0</v>
      </c>
      <c r="AE61" s="138">
        <f>記録!AC40</f>
        <v>0.1</v>
      </c>
      <c r="AF61" s="138">
        <f>AG61+COUNTIF(AG3:AG61,AG61)-1</f>
        <v>59</v>
      </c>
      <c r="AG61" s="138">
        <f t="shared" si="38"/>
        <v>1</v>
      </c>
    </row>
    <row r="62" spans="2:33" x14ac:dyDescent="0.75">
      <c r="B62" s="115">
        <v>60</v>
      </c>
      <c r="C62" s="130">
        <f t="shared" si="25"/>
        <v>1</v>
      </c>
      <c r="D62" s="131" t="str">
        <f t="shared" si="26"/>
        <v/>
      </c>
      <c r="E62" s="130" t="str">
        <f t="shared" si="27"/>
        <v/>
      </c>
      <c r="F62" s="131" t="str">
        <f t="shared" si="28"/>
        <v/>
      </c>
      <c r="G62" s="130" t="str">
        <f t="shared" si="29"/>
        <v/>
      </c>
      <c r="H62" s="132">
        <f t="shared" si="5"/>
        <v>0</v>
      </c>
      <c r="I62" s="133" t="str">
        <f t="shared" si="12"/>
        <v/>
      </c>
      <c r="J62" s="133" t="str">
        <f t="shared" si="13"/>
        <v/>
      </c>
      <c r="L62" s="134" t="str">
        <f t="shared" si="21"/>
        <v/>
      </c>
      <c r="M62" s="140" t="str">
        <f t="shared" si="30"/>
        <v/>
      </c>
      <c r="N62" s="141" t="str">
        <f t="shared" si="31"/>
        <v/>
      </c>
      <c r="O62" s="142" t="str">
        <f t="shared" si="32"/>
        <v/>
      </c>
      <c r="P62" s="143" t="str">
        <f t="shared" si="33"/>
        <v/>
      </c>
      <c r="Q62" s="134" t="str">
        <f t="shared" si="22"/>
        <v/>
      </c>
      <c r="S62" s="134" t="str">
        <f t="shared" si="23"/>
        <v/>
      </c>
      <c r="T62" s="140" t="str">
        <f t="shared" si="34"/>
        <v/>
      </c>
      <c r="U62" s="141" t="str">
        <f t="shared" si="35"/>
        <v/>
      </c>
      <c r="V62" s="142" t="str">
        <f t="shared" si="36"/>
        <v/>
      </c>
      <c r="W62" s="143" t="str">
        <f t="shared" si="37"/>
        <v/>
      </c>
      <c r="X62" s="134" t="str">
        <f t="shared" si="24"/>
        <v/>
      </c>
      <c r="Z62" s="137" t="str">
        <f>IF(選手!Q5="","",選手!Q5)</f>
        <v/>
      </c>
      <c r="AA62" s="137" t="str">
        <f>IF(選手!R5="","",選手!R5)</f>
        <v/>
      </c>
      <c r="AB62" s="138" t="str">
        <f>IF(選手!S5="","",選手!S5)</f>
        <v/>
      </c>
      <c r="AC62" s="137" t="str">
        <f>IF(選手!T5="","",選手!T5)</f>
        <v/>
      </c>
      <c r="AD62" s="139">
        <f>記録!AB41</f>
        <v>0</v>
      </c>
      <c r="AE62" s="138">
        <f>記録!AB40</f>
        <v>0.1</v>
      </c>
      <c r="AF62" s="138">
        <f>AG62+COUNTIF(AG3:AG62,AG62)-1</f>
        <v>60</v>
      </c>
      <c r="AG62" s="138">
        <f t="shared" si="38"/>
        <v>1</v>
      </c>
    </row>
    <row r="63" spans="2:33" x14ac:dyDescent="0.75">
      <c r="B63" s="115">
        <v>61</v>
      </c>
      <c r="C63" s="130">
        <f t="shared" si="25"/>
        <v>1</v>
      </c>
      <c r="D63" s="131" t="str">
        <f t="shared" si="26"/>
        <v/>
      </c>
      <c r="E63" s="130" t="str">
        <f t="shared" si="27"/>
        <v/>
      </c>
      <c r="F63" s="131" t="str">
        <f t="shared" si="28"/>
        <v/>
      </c>
      <c r="G63" s="130" t="str">
        <f t="shared" si="29"/>
        <v/>
      </c>
      <c r="H63" s="132">
        <f t="shared" si="5"/>
        <v>0</v>
      </c>
      <c r="I63" s="133" t="str">
        <f t="shared" si="12"/>
        <v/>
      </c>
      <c r="J63" s="133" t="str">
        <f t="shared" si="13"/>
        <v/>
      </c>
      <c r="L63" s="134" t="str">
        <f t="shared" si="21"/>
        <v/>
      </c>
      <c r="M63" s="140" t="str">
        <f t="shared" si="30"/>
        <v/>
      </c>
      <c r="N63" s="141" t="str">
        <f t="shared" si="31"/>
        <v/>
      </c>
      <c r="O63" s="142" t="str">
        <f t="shared" si="32"/>
        <v/>
      </c>
      <c r="P63" s="143" t="str">
        <f t="shared" si="33"/>
        <v/>
      </c>
      <c r="Q63" s="134" t="str">
        <f t="shared" si="22"/>
        <v/>
      </c>
      <c r="S63" s="134" t="str">
        <f t="shared" si="23"/>
        <v/>
      </c>
      <c r="T63" s="140" t="str">
        <f t="shared" si="34"/>
        <v/>
      </c>
      <c r="U63" s="141" t="str">
        <f t="shared" si="35"/>
        <v/>
      </c>
      <c r="V63" s="142" t="str">
        <f t="shared" si="36"/>
        <v/>
      </c>
      <c r="W63" s="143" t="str">
        <f t="shared" si="37"/>
        <v/>
      </c>
      <c r="X63" s="134" t="str">
        <f t="shared" si="24"/>
        <v/>
      </c>
      <c r="Z63" s="137" t="str">
        <f>IF(選手!Q6="","",選手!Q6)</f>
        <v/>
      </c>
      <c r="AA63" s="137" t="str">
        <f>IF(選手!R6="","",選手!R6)</f>
        <v/>
      </c>
      <c r="AB63" s="138" t="str">
        <f>IF(選手!S6="","",選手!S6)</f>
        <v/>
      </c>
      <c r="AC63" s="137" t="str">
        <f>IF(選手!T6="","",選手!T6)</f>
        <v/>
      </c>
      <c r="AD63" s="139">
        <f>記録!AA41</f>
        <v>0</v>
      </c>
      <c r="AE63" s="138">
        <f>記録!AA40</f>
        <v>0.1</v>
      </c>
      <c r="AF63" s="138">
        <f>AG63+COUNTIF(AG3:AG63,AG63)-1</f>
        <v>61</v>
      </c>
      <c r="AG63" s="138">
        <f t="shared" si="38"/>
        <v>1</v>
      </c>
    </row>
    <row r="64" spans="2:33" x14ac:dyDescent="0.75">
      <c r="B64" s="115">
        <v>62</v>
      </c>
      <c r="C64" s="130">
        <f t="shared" si="25"/>
        <v>1</v>
      </c>
      <c r="D64" s="131" t="str">
        <f t="shared" si="26"/>
        <v/>
      </c>
      <c r="E64" s="130" t="str">
        <f t="shared" si="27"/>
        <v/>
      </c>
      <c r="F64" s="131" t="str">
        <f t="shared" si="28"/>
        <v/>
      </c>
      <c r="G64" s="130" t="str">
        <f t="shared" si="29"/>
        <v/>
      </c>
      <c r="H64" s="132">
        <f t="shared" si="5"/>
        <v>0</v>
      </c>
      <c r="I64" s="133" t="str">
        <f t="shared" si="12"/>
        <v/>
      </c>
      <c r="J64" s="133" t="str">
        <f t="shared" si="13"/>
        <v/>
      </c>
      <c r="L64" s="134" t="str">
        <f t="shared" si="21"/>
        <v/>
      </c>
      <c r="M64" s="140" t="str">
        <f t="shared" si="30"/>
        <v/>
      </c>
      <c r="N64" s="141" t="str">
        <f t="shared" si="31"/>
        <v/>
      </c>
      <c r="O64" s="142" t="str">
        <f t="shared" si="32"/>
        <v/>
      </c>
      <c r="P64" s="143" t="str">
        <f t="shared" si="33"/>
        <v/>
      </c>
      <c r="Q64" s="134" t="str">
        <f t="shared" si="22"/>
        <v/>
      </c>
      <c r="S64" s="134" t="str">
        <f t="shared" si="23"/>
        <v/>
      </c>
      <c r="T64" s="140" t="str">
        <f t="shared" si="34"/>
        <v/>
      </c>
      <c r="U64" s="141" t="str">
        <f t="shared" si="35"/>
        <v/>
      </c>
      <c r="V64" s="142" t="str">
        <f t="shared" si="36"/>
        <v/>
      </c>
      <c r="W64" s="143" t="str">
        <f t="shared" si="37"/>
        <v/>
      </c>
      <c r="X64" s="134" t="str">
        <f t="shared" si="24"/>
        <v/>
      </c>
      <c r="Z64" s="137" t="str">
        <f>IF(選手!Q7="","",選手!Q7)</f>
        <v/>
      </c>
      <c r="AA64" s="137" t="str">
        <f>IF(選手!R7="","",選手!R7)</f>
        <v/>
      </c>
      <c r="AB64" s="138" t="str">
        <f>IF(選手!S7="","",選手!S7)</f>
        <v/>
      </c>
      <c r="AC64" s="137" t="str">
        <f>IF(選手!T7="","",選手!T7)</f>
        <v/>
      </c>
      <c r="AD64" s="139">
        <f>記録!Z41</f>
        <v>0</v>
      </c>
      <c r="AE64" s="138">
        <f>記録!Z40</f>
        <v>0.1</v>
      </c>
      <c r="AF64" s="138">
        <f>AG64+COUNTIF(AG3:AG64,AG64)-1</f>
        <v>62</v>
      </c>
      <c r="AG64" s="138">
        <f t="shared" si="38"/>
        <v>1</v>
      </c>
    </row>
    <row r="65" spans="2:33" x14ac:dyDescent="0.75">
      <c r="B65" s="115">
        <v>63</v>
      </c>
      <c r="C65" s="130">
        <f t="shared" si="25"/>
        <v>1</v>
      </c>
      <c r="D65" s="131" t="str">
        <f t="shared" si="26"/>
        <v/>
      </c>
      <c r="E65" s="130" t="str">
        <f t="shared" si="27"/>
        <v/>
      </c>
      <c r="F65" s="131" t="str">
        <f t="shared" si="28"/>
        <v/>
      </c>
      <c r="G65" s="130" t="str">
        <f t="shared" si="29"/>
        <v/>
      </c>
      <c r="H65" s="132">
        <f t="shared" si="5"/>
        <v>0</v>
      </c>
      <c r="I65" s="133" t="str">
        <f t="shared" si="12"/>
        <v/>
      </c>
      <c r="J65" s="133" t="str">
        <f t="shared" si="13"/>
        <v/>
      </c>
      <c r="L65" s="134" t="str">
        <f t="shared" si="21"/>
        <v/>
      </c>
      <c r="M65" s="140" t="str">
        <f t="shared" si="30"/>
        <v/>
      </c>
      <c r="N65" s="141" t="str">
        <f t="shared" si="31"/>
        <v/>
      </c>
      <c r="O65" s="142" t="str">
        <f t="shared" si="32"/>
        <v/>
      </c>
      <c r="P65" s="143" t="str">
        <f t="shared" si="33"/>
        <v/>
      </c>
      <c r="Q65" s="134" t="str">
        <f t="shared" si="22"/>
        <v/>
      </c>
      <c r="S65" s="134" t="str">
        <f t="shared" si="23"/>
        <v/>
      </c>
      <c r="T65" s="140" t="str">
        <f t="shared" si="34"/>
        <v/>
      </c>
      <c r="U65" s="141" t="str">
        <f t="shared" si="35"/>
        <v/>
      </c>
      <c r="V65" s="142" t="str">
        <f t="shared" si="36"/>
        <v/>
      </c>
      <c r="W65" s="143" t="str">
        <f t="shared" si="37"/>
        <v/>
      </c>
      <c r="X65" s="134" t="str">
        <f t="shared" si="24"/>
        <v/>
      </c>
      <c r="Z65" s="137" t="str">
        <f>IF(選手!Q8="","",選手!Q8)</f>
        <v/>
      </c>
      <c r="AA65" s="137" t="str">
        <f>IF(選手!R8="","",選手!R8)</f>
        <v/>
      </c>
      <c r="AB65" s="138" t="str">
        <f>IF(選手!S8="","",選手!S8)</f>
        <v/>
      </c>
      <c r="AC65" s="137" t="str">
        <f>IF(選手!T8="","",選手!T8)</f>
        <v/>
      </c>
      <c r="AD65" s="139">
        <f>記録!Y41</f>
        <v>0</v>
      </c>
      <c r="AE65" s="138">
        <f>記録!Y40</f>
        <v>0.1</v>
      </c>
      <c r="AF65" s="138">
        <f>AG65+COUNTIF(AG3:AG65,AG65)-1</f>
        <v>63</v>
      </c>
      <c r="AG65" s="138">
        <f t="shared" si="38"/>
        <v>1</v>
      </c>
    </row>
    <row r="66" spans="2:33" x14ac:dyDescent="0.75">
      <c r="B66" s="115">
        <v>64</v>
      </c>
      <c r="C66" s="144">
        <f t="shared" si="25"/>
        <v>1</v>
      </c>
      <c r="D66" s="145" t="str">
        <f t="shared" si="26"/>
        <v/>
      </c>
      <c r="E66" s="144" t="str">
        <f t="shared" si="27"/>
        <v/>
      </c>
      <c r="F66" s="145" t="str">
        <f t="shared" si="28"/>
        <v/>
      </c>
      <c r="G66" s="144" t="str">
        <f t="shared" si="29"/>
        <v/>
      </c>
      <c r="H66" s="132">
        <f t="shared" si="5"/>
        <v>0</v>
      </c>
      <c r="I66" s="133" t="str">
        <f t="shared" si="12"/>
        <v/>
      </c>
      <c r="J66" s="133" t="str">
        <f t="shared" si="13"/>
        <v/>
      </c>
      <c r="L66" s="134" t="str">
        <f t="shared" si="21"/>
        <v/>
      </c>
      <c r="M66" s="140" t="str">
        <f t="shared" si="30"/>
        <v/>
      </c>
      <c r="N66" s="141" t="str">
        <f t="shared" si="31"/>
        <v/>
      </c>
      <c r="O66" s="142" t="str">
        <f t="shared" si="32"/>
        <v/>
      </c>
      <c r="P66" s="143" t="str">
        <f t="shared" si="33"/>
        <v/>
      </c>
      <c r="Q66" s="134" t="str">
        <f t="shared" si="22"/>
        <v/>
      </c>
      <c r="S66" s="134" t="str">
        <f t="shared" si="23"/>
        <v/>
      </c>
      <c r="T66" s="140" t="str">
        <f t="shared" si="34"/>
        <v/>
      </c>
      <c r="U66" s="141" t="str">
        <f t="shared" si="35"/>
        <v/>
      </c>
      <c r="V66" s="142" t="str">
        <f t="shared" si="36"/>
        <v/>
      </c>
      <c r="W66" s="143" t="str">
        <f t="shared" si="37"/>
        <v/>
      </c>
      <c r="X66" s="134" t="str">
        <f t="shared" si="24"/>
        <v/>
      </c>
      <c r="Z66" s="137" t="str">
        <f>IF(選手!Q9="","",選手!Q9)</f>
        <v/>
      </c>
      <c r="AA66" s="137" t="str">
        <f>IF(選手!R9="","",選手!R9)</f>
        <v/>
      </c>
      <c r="AB66" s="138" t="str">
        <f>IF(選手!S9="","",選手!S9)</f>
        <v/>
      </c>
      <c r="AC66" s="137" t="str">
        <f>IF(選手!T9="","",選手!T9)</f>
        <v/>
      </c>
      <c r="AD66" s="139">
        <f>記録!X41</f>
        <v>0</v>
      </c>
      <c r="AE66" s="138">
        <f>記録!X40</f>
        <v>0.1</v>
      </c>
      <c r="AF66" s="138">
        <f>AG66+COUNTIF(AG3:AG66,AG66)-1</f>
        <v>64</v>
      </c>
      <c r="AG66" s="138">
        <f t="shared" si="38"/>
        <v>1</v>
      </c>
    </row>
  </sheetData>
  <mergeCells count="3">
    <mergeCell ref="C1:H1"/>
    <mergeCell ref="L1:P1"/>
    <mergeCell ref="S1:W1"/>
  </mergeCells>
  <phoneticPr fontId="1"/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7263F-38DF-4BAD-A509-E1B98011D33A}">
  <sheetPr>
    <pageSetUpPr fitToPage="1"/>
  </sheetPr>
  <dimension ref="A1:I16"/>
  <sheetViews>
    <sheetView view="pageLayout" zoomScaleNormal="100" workbookViewId="0">
      <selection sqref="A1:D1"/>
    </sheetView>
  </sheetViews>
  <sheetFormatPr defaultColWidth="3.58203125" defaultRowHeight="38" x14ac:dyDescent="0.55000000000000004"/>
  <cols>
    <col min="1" max="8" width="12.33203125" style="1" customWidth="1"/>
    <col min="9" max="9" width="23.58203125" style="1" customWidth="1"/>
    <col min="10" max="10" width="3.58203125" style="1"/>
    <col min="11" max="11" width="3.9140625" style="1" bestFit="1" customWidth="1"/>
    <col min="12" max="13" width="3.58203125" style="1"/>
    <col min="14" max="14" width="3.9140625" style="1" bestFit="1" customWidth="1"/>
    <col min="15" max="16384" width="3.58203125" style="1"/>
  </cols>
  <sheetData>
    <row r="1" spans="1:9" x14ac:dyDescent="0.55000000000000004">
      <c r="A1" s="210" t="str">
        <f>IF(記録!C2="","",記録!C2)</f>
        <v>春日井A</v>
      </c>
      <c r="B1" s="205"/>
      <c r="C1" s="205"/>
      <c r="D1" s="205"/>
      <c r="E1" s="204" t="str">
        <f>IF(記録!C20="","",記録!C20)</f>
        <v>春日井B</v>
      </c>
      <c r="F1" s="205"/>
      <c r="G1" s="205"/>
      <c r="H1" s="206"/>
      <c r="I1" s="211" t="s">
        <v>2</v>
      </c>
    </row>
    <row r="2" spans="1:9" x14ac:dyDescent="0.55000000000000004">
      <c r="A2" s="212">
        <f>IF(記録!C3="","",記録!C3)</f>
        <v>0</v>
      </c>
      <c r="B2" s="208"/>
      <c r="C2" s="208"/>
      <c r="D2" s="208"/>
      <c r="E2" s="207">
        <f>IF(記録!C21="","",記録!C21)</f>
        <v>0</v>
      </c>
      <c r="F2" s="208"/>
      <c r="G2" s="208"/>
      <c r="H2" s="209"/>
      <c r="I2" s="213" t="s">
        <v>3</v>
      </c>
    </row>
    <row r="3" spans="1:9" ht="38.5" thickBot="1" x14ac:dyDescent="0.6">
      <c r="A3" s="214">
        <f>IF(記録!C5="","",記録!C5)</f>
        <v>0</v>
      </c>
      <c r="B3" s="53">
        <f>IF(記録!D5="","",記録!D5)</f>
        <v>0</v>
      </c>
      <c r="C3" s="53">
        <f>IF(記録!E5="","",記録!E5)</f>
        <v>0</v>
      </c>
      <c r="D3" s="54">
        <f>IF(記録!F5="","",記録!F5)</f>
        <v>0</v>
      </c>
      <c r="E3" s="55">
        <f>IF(記録!C23="","",記録!C23)</f>
        <v>0</v>
      </c>
      <c r="F3" s="53">
        <f>IF(記録!D23="","",記録!D23)</f>
        <v>0</v>
      </c>
      <c r="G3" s="53">
        <f>IF(記録!E23="","",記録!E23)</f>
        <v>0</v>
      </c>
      <c r="H3" s="56">
        <f>IF(記録!F23="","",記録!F23)</f>
        <v>0</v>
      </c>
      <c r="I3" s="215" t="s">
        <v>4</v>
      </c>
    </row>
    <row r="4" spans="1:9" ht="38.5" thickTop="1" x14ac:dyDescent="0.55000000000000004">
      <c r="A4" s="34">
        <f>IF(記録!C6="","",記録!C6)</f>
        <v>0</v>
      </c>
      <c r="B4" s="9">
        <f>IF(記録!D6="","",記録!D6)</f>
        <v>0</v>
      </c>
      <c r="C4" s="9">
        <f>IF(記録!E6="","",記録!E6)</f>
        <v>0</v>
      </c>
      <c r="D4" s="10">
        <f>IF(記録!F6="","",記録!F6)</f>
        <v>0</v>
      </c>
      <c r="E4" s="11">
        <f>IF(記録!C24="","",記録!C24)</f>
        <v>0</v>
      </c>
      <c r="F4" s="9">
        <f>IF(記録!D24="","",記録!D24)</f>
        <v>0</v>
      </c>
      <c r="G4" s="9">
        <f>IF(記録!E24="","",記録!E24)</f>
        <v>0</v>
      </c>
      <c r="H4" s="12">
        <f>IF(記録!F24="","",記録!F24)</f>
        <v>0</v>
      </c>
      <c r="I4" s="216" t="s">
        <v>19</v>
      </c>
    </row>
    <row r="5" spans="1:9" ht="51" customHeight="1" x14ac:dyDescent="0.55000000000000004">
      <c r="A5" s="217" t="str">
        <f>IF(記録!C7="","",記録!C7)</f>
        <v/>
      </c>
      <c r="B5" s="13" t="str">
        <f>IF(記録!D7="","",記録!D7)</f>
        <v/>
      </c>
      <c r="C5" s="13" t="str">
        <f>IF(記録!E7="","",記録!E7)</f>
        <v/>
      </c>
      <c r="D5" s="14" t="str">
        <f>IF(記録!F7="","",記録!F7)</f>
        <v/>
      </c>
      <c r="E5" s="15" t="str">
        <f>IF(記録!C25="","",記録!C25)</f>
        <v/>
      </c>
      <c r="F5" s="13" t="str">
        <f>IF(記録!D25="","",記録!D25)</f>
        <v/>
      </c>
      <c r="G5" s="13" t="str">
        <f>IF(記録!E25="","",記録!E25)</f>
        <v/>
      </c>
      <c r="H5" s="16" t="str">
        <f>IF(記録!F25="","",記録!F25)</f>
        <v/>
      </c>
      <c r="I5" s="218" t="s">
        <v>22</v>
      </c>
    </row>
    <row r="6" spans="1:9" ht="51" customHeight="1" x14ac:dyDescent="0.55000000000000004">
      <c r="A6" s="219" t="str">
        <f>IF(記録!C8="","",記録!C8)</f>
        <v/>
      </c>
      <c r="B6" s="17" t="str">
        <f>IF(記録!D8="","",記録!D8)</f>
        <v/>
      </c>
      <c r="C6" s="17" t="str">
        <f>IF(記録!E8="","",記録!E8)</f>
        <v/>
      </c>
      <c r="D6" s="18" t="str">
        <f>IF(記録!F8="","",記録!F8)</f>
        <v/>
      </c>
      <c r="E6" s="19" t="str">
        <f>IF(記録!C26="","",記録!C26)</f>
        <v/>
      </c>
      <c r="F6" s="17" t="str">
        <f>IF(記録!D26="","",記録!D26)</f>
        <v/>
      </c>
      <c r="G6" s="17" t="str">
        <f>IF(記録!E26="","",記録!E26)</f>
        <v/>
      </c>
      <c r="H6" s="20" t="str">
        <f>IF(記録!F26="","",記録!F26)</f>
        <v/>
      </c>
      <c r="I6" s="220" t="s">
        <v>23</v>
      </c>
    </row>
    <row r="7" spans="1:9" ht="51" customHeight="1" x14ac:dyDescent="0.55000000000000004">
      <c r="A7" s="219" t="str">
        <f>IF(記録!C9="","",記録!C9)</f>
        <v/>
      </c>
      <c r="B7" s="17" t="str">
        <f>IF(記録!D9="","",記録!D9)</f>
        <v/>
      </c>
      <c r="C7" s="17" t="str">
        <f>IF(記録!E9="","",記録!E9)</f>
        <v/>
      </c>
      <c r="D7" s="18" t="str">
        <f>IF(記録!F9="","",記録!F9)</f>
        <v/>
      </c>
      <c r="E7" s="19" t="str">
        <f>IF(記録!C27="","",記録!C27)</f>
        <v/>
      </c>
      <c r="F7" s="17" t="str">
        <f>IF(記録!D27="","",記録!D27)</f>
        <v/>
      </c>
      <c r="G7" s="17" t="str">
        <f>IF(記録!E27="","",記録!E27)</f>
        <v/>
      </c>
      <c r="H7" s="20" t="str">
        <f>IF(記録!F27="","",記録!F27)</f>
        <v/>
      </c>
      <c r="I7" s="220" t="s">
        <v>25</v>
      </c>
    </row>
    <row r="8" spans="1:9" ht="51" customHeight="1" thickBot="1" x14ac:dyDescent="0.6">
      <c r="A8" s="221" t="str">
        <f>IF(記録!C10="","",記録!C10)</f>
        <v/>
      </c>
      <c r="B8" s="21" t="str">
        <f>IF(記録!D10="","",記録!D10)</f>
        <v/>
      </c>
      <c r="C8" s="21" t="str">
        <f>IF(記録!E10="","",記録!E10)</f>
        <v/>
      </c>
      <c r="D8" s="22" t="str">
        <f>IF(記録!F10="","",記録!F10)</f>
        <v/>
      </c>
      <c r="E8" s="23" t="str">
        <f>IF(記録!C28="","",記録!C28)</f>
        <v/>
      </c>
      <c r="F8" s="21" t="str">
        <f>IF(記録!D28="","",記録!D28)</f>
        <v/>
      </c>
      <c r="G8" s="21" t="str">
        <f>IF(記録!E28="","",記録!E28)</f>
        <v/>
      </c>
      <c r="H8" s="24" t="str">
        <f>IF(記録!F28="","",記録!F28)</f>
        <v/>
      </c>
      <c r="I8" s="222" t="s">
        <v>27</v>
      </c>
    </row>
    <row r="9" spans="1:9" x14ac:dyDescent="0.55000000000000004">
      <c r="A9" s="33">
        <f>IF(記録!C11="","",記録!C11)</f>
        <v>0</v>
      </c>
      <c r="B9" s="25">
        <f>IF(記録!D11="","",記録!D11)</f>
        <v>0</v>
      </c>
      <c r="C9" s="25">
        <f>IF(記録!E11="","",記録!E11)</f>
        <v>0</v>
      </c>
      <c r="D9" s="26">
        <f>IF(記録!F11="","",記録!F11)</f>
        <v>0</v>
      </c>
      <c r="E9" s="27">
        <f>IF(記録!C29="","",記録!C29)</f>
        <v>0</v>
      </c>
      <c r="F9" s="25">
        <f>IF(記録!D29="","",記録!D29)</f>
        <v>0</v>
      </c>
      <c r="G9" s="25">
        <f>IF(記録!E29="","",記録!E29)</f>
        <v>0</v>
      </c>
      <c r="H9" s="28">
        <f>IF(記録!F29="","",記録!F29)</f>
        <v>0</v>
      </c>
      <c r="I9" s="216" t="s">
        <v>20</v>
      </c>
    </row>
    <row r="10" spans="1:9" ht="51" customHeight="1" x14ac:dyDescent="0.55000000000000004">
      <c r="A10" s="217" t="str">
        <f>IF(記録!C12="","",記録!C12)</f>
        <v/>
      </c>
      <c r="B10" s="13" t="str">
        <f>IF(記録!D12="","",記録!D12)</f>
        <v/>
      </c>
      <c r="C10" s="13" t="str">
        <f>IF(記録!E12="","",記録!E12)</f>
        <v/>
      </c>
      <c r="D10" s="14" t="str">
        <f>IF(記録!F12="","",記録!F12)</f>
        <v/>
      </c>
      <c r="E10" s="15" t="str">
        <f>IF(記録!C30="","",記録!C30)</f>
        <v/>
      </c>
      <c r="F10" s="13" t="str">
        <f>IF(記録!D30="","",記録!D30)</f>
        <v/>
      </c>
      <c r="G10" s="13" t="str">
        <f>IF(記録!E30="","",記録!E30)</f>
        <v/>
      </c>
      <c r="H10" s="16" t="str">
        <f>IF(記録!F30="","",記録!F30)</f>
        <v/>
      </c>
      <c r="I10" s="218" t="s">
        <v>22</v>
      </c>
    </row>
    <row r="11" spans="1:9" ht="51" customHeight="1" x14ac:dyDescent="0.55000000000000004">
      <c r="A11" s="219" t="str">
        <f>IF(記録!C13="","",記録!C13)</f>
        <v/>
      </c>
      <c r="B11" s="17" t="str">
        <f>IF(記録!D13="","",記録!D13)</f>
        <v/>
      </c>
      <c r="C11" s="17" t="str">
        <f>IF(記録!E13="","",記録!E13)</f>
        <v/>
      </c>
      <c r="D11" s="18" t="str">
        <f>IF(記録!F13="","",記録!F13)</f>
        <v/>
      </c>
      <c r="E11" s="19" t="str">
        <f>IF(記録!C31="","",記録!C31)</f>
        <v/>
      </c>
      <c r="F11" s="17" t="str">
        <f>IF(記録!D31="","",記録!D31)</f>
        <v/>
      </c>
      <c r="G11" s="17" t="str">
        <f>IF(記録!E31="","",記録!E31)</f>
        <v/>
      </c>
      <c r="H11" s="20" t="str">
        <f>IF(記録!F31="","",記録!F31)</f>
        <v/>
      </c>
      <c r="I11" s="220" t="s">
        <v>23</v>
      </c>
    </row>
    <row r="12" spans="1:9" ht="51" customHeight="1" x14ac:dyDescent="0.55000000000000004">
      <c r="A12" s="219" t="str">
        <f>IF(記録!C14="","",記録!C14)</f>
        <v/>
      </c>
      <c r="B12" s="17" t="str">
        <f>IF(記録!D14="","",記録!D14)</f>
        <v/>
      </c>
      <c r="C12" s="17" t="str">
        <f>IF(記録!E14="","",記録!E14)</f>
        <v/>
      </c>
      <c r="D12" s="18" t="str">
        <f>IF(記録!F14="","",記録!F14)</f>
        <v/>
      </c>
      <c r="E12" s="19" t="str">
        <f>IF(記録!C32="","",記録!C32)</f>
        <v/>
      </c>
      <c r="F12" s="17" t="str">
        <f>IF(記録!D32="","",記録!D32)</f>
        <v/>
      </c>
      <c r="G12" s="17" t="str">
        <f>IF(記録!E32="","",記録!E32)</f>
        <v/>
      </c>
      <c r="H12" s="20" t="str">
        <f>IF(記録!F32="","",記録!F32)</f>
        <v/>
      </c>
      <c r="I12" s="220" t="s">
        <v>25</v>
      </c>
    </row>
    <row r="13" spans="1:9" ht="51" customHeight="1" thickBot="1" x14ac:dyDescent="0.6">
      <c r="A13" s="221" t="str">
        <f>IF(記録!C15="","",記録!C15)</f>
        <v/>
      </c>
      <c r="B13" s="21" t="str">
        <f>IF(記録!D15="","",記録!D15)</f>
        <v/>
      </c>
      <c r="C13" s="21" t="str">
        <f>IF(記録!E15="","",記録!E15)</f>
        <v/>
      </c>
      <c r="D13" s="22" t="str">
        <f>IF(記録!F15="","",記録!F15)</f>
        <v/>
      </c>
      <c r="E13" s="23" t="str">
        <f>IF(記録!C33="","",記録!C33)</f>
        <v/>
      </c>
      <c r="F13" s="21" t="str">
        <f>IF(記録!D33="","",記録!D33)</f>
        <v/>
      </c>
      <c r="G13" s="21" t="str">
        <f>IF(記録!E33="","",記録!E33)</f>
        <v/>
      </c>
      <c r="H13" s="24" t="str">
        <f>IF(記録!F33="","",記録!F33)</f>
        <v/>
      </c>
      <c r="I13" s="222" t="s">
        <v>27</v>
      </c>
    </row>
    <row r="14" spans="1:9" x14ac:dyDescent="0.55000000000000004">
      <c r="A14" s="33">
        <f>IF(記録!C16="","",記録!C16)</f>
        <v>20</v>
      </c>
      <c r="B14" s="25">
        <f>IF(記録!D16="","",記録!D16)</f>
        <v>19</v>
      </c>
      <c r="C14" s="25">
        <f>IF(記録!E16="","",記録!E16)</f>
        <v>18</v>
      </c>
      <c r="D14" s="26">
        <f>IF(記録!F16="","",記録!F16)</f>
        <v>17</v>
      </c>
      <c r="E14" s="27">
        <f>IF(記録!C34="","",記録!C34)</f>
        <v>40</v>
      </c>
      <c r="F14" s="25">
        <f>IF(記録!D34="","",記録!D34)</f>
        <v>39</v>
      </c>
      <c r="G14" s="25">
        <f>IF(記録!E34="","",記録!E34)</f>
        <v>38</v>
      </c>
      <c r="H14" s="28">
        <f>IF(記録!F34="","",記録!F34)</f>
        <v>37</v>
      </c>
      <c r="I14" s="216" t="s">
        <v>18</v>
      </c>
    </row>
    <row r="15" spans="1:9" x14ac:dyDescent="0.55000000000000004">
      <c r="A15" s="223" t="str">
        <f>IF(記録!C17="","",記録!C17)</f>
        <v>男</v>
      </c>
      <c r="B15" s="29" t="str">
        <f>IF(記録!D17="","",記録!D17)</f>
        <v>男</v>
      </c>
      <c r="C15" s="29" t="str">
        <f>IF(記録!E17="","",記録!E17)</f>
        <v>男</v>
      </c>
      <c r="D15" s="30" t="str">
        <f>IF(記録!F17="","",記録!F17)</f>
        <v>男</v>
      </c>
      <c r="E15" s="31" t="str">
        <f>IF(記録!C35="","",記録!C35)</f>
        <v>女</v>
      </c>
      <c r="F15" s="29" t="str">
        <f>IF(記録!D35="","",記録!D35)</f>
        <v>女</v>
      </c>
      <c r="G15" s="29" t="str">
        <f>IF(記録!E35="","",記録!E35)</f>
        <v>女</v>
      </c>
      <c r="H15" s="32" t="str">
        <f>IF(記録!F35="","",記録!F35)</f>
        <v>女</v>
      </c>
      <c r="I15" s="216" t="s">
        <v>35</v>
      </c>
    </row>
    <row r="16" spans="1:9" ht="245" customHeight="1" thickBot="1" x14ac:dyDescent="0.6">
      <c r="A16" s="224" t="str">
        <f>IF(記録!C18="","",記録!C18)</f>
        <v>杉山 武</v>
      </c>
      <c r="B16" s="2" t="str">
        <f>IF(記録!D18="","",記録!D18)</f>
        <v>玉野 正明</v>
      </c>
      <c r="C16" s="2" t="str">
        <f>IF(記録!E18="","",記録!E18)</f>
        <v>阿部 健二郞</v>
      </c>
      <c r="D16" s="3" t="str">
        <f>IF(記録!F18="","",記録!F18)</f>
        <v>小川 久生</v>
      </c>
      <c r="E16" s="4" t="str">
        <f>IF(記録!C36="","",記録!C36)</f>
        <v>佃 弘美</v>
      </c>
      <c r="F16" s="2" t="str">
        <f>IF(記録!D36="","",記録!D36)</f>
        <v>片桐 志保</v>
      </c>
      <c r="G16" s="2" t="str">
        <f>IF(記録!E36="","",記録!E36)</f>
        <v>山口 このみ</v>
      </c>
      <c r="H16" s="5" t="str">
        <f>IF(記録!F36="","",記録!F36)</f>
        <v>遠藤 恵美子</v>
      </c>
      <c r="I16" s="230" t="s">
        <v>124</v>
      </c>
    </row>
  </sheetData>
  <mergeCells count="4">
    <mergeCell ref="E1:H1"/>
    <mergeCell ref="A1:D1"/>
    <mergeCell ref="E2:H2"/>
    <mergeCell ref="A2:D2"/>
  </mergeCells>
  <phoneticPr fontId="1"/>
  <pageMargins left="0.23622047244094491" right="0.23622047244094491" top="1.0533333333333332" bottom="0.74803149606299213" header="0.31496062992125984" footer="0.31496062992125984"/>
  <pageSetup paperSize="9" scale="74" orientation="portrait" r:id="rId1"/>
  <headerFooter>
    <oddHeader>&amp;C&amp;"メイリオ,ボールド"&amp;28 2021 東尾張エリア弓道大会　チーム記録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BC22B-17AE-48CD-8C14-E5C81423B1E4}">
  <sheetPr>
    <pageSetUpPr fitToPage="1"/>
  </sheetPr>
  <dimension ref="A1:I16"/>
  <sheetViews>
    <sheetView view="pageLayout" zoomScaleNormal="100" workbookViewId="0">
      <selection sqref="A1:D1"/>
    </sheetView>
  </sheetViews>
  <sheetFormatPr defaultColWidth="3.58203125" defaultRowHeight="38" x14ac:dyDescent="0.55000000000000004"/>
  <cols>
    <col min="1" max="8" width="12.33203125" style="1" customWidth="1"/>
    <col min="9" max="9" width="23.58203125" style="1" customWidth="1"/>
    <col min="10" max="10" width="3.58203125" style="1"/>
    <col min="11" max="11" width="3.9140625" style="1" bestFit="1" customWidth="1"/>
    <col min="12" max="13" width="3.58203125" style="1"/>
    <col min="14" max="14" width="3.9140625" style="1" bestFit="1" customWidth="1"/>
    <col min="15" max="16384" width="3.58203125" style="1"/>
  </cols>
  <sheetData>
    <row r="1" spans="1:9" x14ac:dyDescent="0.55000000000000004">
      <c r="A1" s="210" t="str">
        <f>IF(記録!K2="","",記録!K2)</f>
        <v>西春日井A</v>
      </c>
      <c r="B1" s="205"/>
      <c r="C1" s="205"/>
      <c r="D1" s="205"/>
      <c r="E1" s="204" t="str">
        <f>IF(記録!G2="","",記録!G2)</f>
        <v>西春日井B</v>
      </c>
      <c r="F1" s="205"/>
      <c r="G1" s="205"/>
      <c r="H1" s="206"/>
      <c r="I1" s="211" t="s">
        <v>2</v>
      </c>
    </row>
    <row r="2" spans="1:9" x14ac:dyDescent="0.55000000000000004">
      <c r="A2" s="212">
        <f>IF(記録!K3="","",記録!K3)</f>
        <v>0</v>
      </c>
      <c r="B2" s="208"/>
      <c r="C2" s="208"/>
      <c r="D2" s="208"/>
      <c r="E2" s="207">
        <f>IF(記録!G3="","",記録!G3)</f>
        <v>0</v>
      </c>
      <c r="F2" s="208"/>
      <c r="G2" s="208"/>
      <c r="H2" s="209"/>
      <c r="I2" s="213" t="s">
        <v>3</v>
      </c>
    </row>
    <row r="3" spans="1:9" ht="38.5" thickBot="1" x14ac:dyDescent="0.6">
      <c r="A3" s="214">
        <f>IF(記録!K5="","",記録!K5)</f>
        <v>0</v>
      </c>
      <c r="B3" s="61">
        <f>IF(記録!L5="","",記録!L5)</f>
        <v>0</v>
      </c>
      <c r="C3" s="61">
        <f>IF(記録!M5="","",記録!M5)</f>
        <v>0</v>
      </c>
      <c r="D3" s="62">
        <f>IF(記録!N5="","",記録!N5)</f>
        <v>0</v>
      </c>
      <c r="E3" s="55">
        <f>IF(記録!G5="","",記録!G5)</f>
        <v>0</v>
      </c>
      <c r="F3" s="61">
        <f>IF(記録!H5="","",記録!H5)</f>
        <v>0</v>
      </c>
      <c r="G3" s="61">
        <f>IF(記録!I5="","",記録!I5)</f>
        <v>0</v>
      </c>
      <c r="H3" s="63">
        <f>IF(記録!J5="","",記録!J5)</f>
        <v>0</v>
      </c>
      <c r="I3" s="215" t="s">
        <v>4</v>
      </c>
    </row>
    <row r="4" spans="1:9" ht="38.5" thickTop="1" x14ac:dyDescent="0.55000000000000004">
      <c r="A4" s="34">
        <f>IF(記録!K6="","",記録!K6)</f>
        <v>0</v>
      </c>
      <c r="B4" s="35">
        <f>IF(記録!L6="","",記録!L6)</f>
        <v>0</v>
      </c>
      <c r="C4" s="35">
        <f>IF(記録!M6="","",記録!M6)</f>
        <v>0</v>
      </c>
      <c r="D4" s="36">
        <f>IF(記録!N6="","",記録!N6)</f>
        <v>0</v>
      </c>
      <c r="E4" s="11">
        <f>IF(記録!G6="","",記録!G6)</f>
        <v>0</v>
      </c>
      <c r="F4" s="35">
        <f>IF(記録!H6="","",記録!H6)</f>
        <v>0</v>
      </c>
      <c r="G4" s="35">
        <f>IF(記録!I6="","",記録!I6)</f>
        <v>0</v>
      </c>
      <c r="H4" s="37">
        <f>IF(記録!J6="","",記録!J6)</f>
        <v>0</v>
      </c>
      <c r="I4" s="216" t="s">
        <v>19</v>
      </c>
    </row>
    <row r="5" spans="1:9" ht="51" customHeight="1" x14ac:dyDescent="0.55000000000000004">
      <c r="A5" s="217" t="str">
        <f>IF(記録!K7="","",記録!K7)</f>
        <v/>
      </c>
      <c r="B5" s="38" t="str">
        <f>IF(記録!L7="","",記録!L7)</f>
        <v/>
      </c>
      <c r="C5" s="38" t="str">
        <f>IF(記録!M7="","",記録!M7)</f>
        <v/>
      </c>
      <c r="D5" s="39" t="str">
        <f>IF(記録!N7="","",記録!N7)</f>
        <v/>
      </c>
      <c r="E5" s="15" t="str">
        <f>IF(記録!G7="","",記録!G7)</f>
        <v/>
      </c>
      <c r="F5" s="38" t="str">
        <f>IF(記録!H7="","",記録!H7)</f>
        <v/>
      </c>
      <c r="G5" s="38" t="str">
        <f>IF(記録!I7="","",記録!I7)</f>
        <v/>
      </c>
      <c r="H5" s="40" t="str">
        <f>IF(記録!J7="","",記録!J7)</f>
        <v/>
      </c>
      <c r="I5" s="218" t="s">
        <v>22</v>
      </c>
    </row>
    <row r="6" spans="1:9" ht="51" customHeight="1" x14ac:dyDescent="0.55000000000000004">
      <c r="A6" s="219" t="str">
        <f>IF(記録!K8="","",記録!K8)</f>
        <v/>
      </c>
      <c r="B6" s="41" t="str">
        <f>IF(記録!L8="","",記録!L8)</f>
        <v/>
      </c>
      <c r="C6" s="41" t="str">
        <f>IF(記録!M8="","",記録!M8)</f>
        <v/>
      </c>
      <c r="D6" s="42" t="str">
        <f>IF(記録!N8="","",記録!N8)</f>
        <v/>
      </c>
      <c r="E6" s="19" t="str">
        <f>IF(記録!G8="","",記録!G8)</f>
        <v/>
      </c>
      <c r="F6" s="41" t="str">
        <f>IF(記録!H8="","",記録!H8)</f>
        <v/>
      </c>
      <c r="G6" s="41" t="str">
        <f>IF(記録!I8="","",記録!I8)</f>
        <v/>
      </c>
      <c r="H6" s="43" t="str">
        <f>IF(記録!J8="","",記録!J8)</f>
        <v/>
      </c>
      <c r="I6" s="220" t="s">
        <v>23</v>
      </c>
    </row>
    <row r="7" spans="1:9" ht="51" customHeight="1" x14ac:dyDescent="0.55000000000000004">
      <c r="A7" s="219" t="str">
        <f>IF(記録!K9="","",記録!K9)</f>
        <v/>
      </c>
      <c r="B7" s="41" t="str">
        <f>IF(記録!L9="","",記録!L9)</f>
        <v/>
      </c>
      <c r="C7" s="41" t="str">
        <f>IF(記録!M9="","",記録!M9)</f>
        <v/>
      </c>
      <c r="D7" s="42" t="str">
        <f>IF(記録!N9="","",記録!N9)</f>
        <v/>
      </c>
      <c r="E7" s="19" t="str">
        <f>IF(記録!G9="","",記録!G9)</f>
        <v/>
      </c>
      <c r="F7" s="41" t="str">
        <f>IF(記録!H9="","",記録!H9)</f>
        <v/>
      </c>
      <c r="G7" s="41" t="str">
        <f>IF(記録!I9="","",記録!I9)</f>
        <v/>
      </c>
      <c r="H7" s="43" t="str">
        <f>IF(記録!J9="","",記録!J9)</f>
        <v/>
      </c>
      <c r="I7" s="220" t="s">
        <v>25</v>
      </c>
    </row>
    <row r="8" spans="1:9" ht="51" customHeight="1" thickBot="1" x14ac:dyDescent="0.6">
      <c r="A8" s="221" t="str">
        <f>IF(記録!K10="","",記録!K10)</f>
        <v/>
      </c>
      <c r="B8" s="44" t="str">
        <f>IF(記録!L10="","",記録!L10)</f>
        <v/>
      </c>
      <c r="C8" s="44" t="str">
        <f>IF(記録!M10="","",記録!M10)</f>
        <v/>
      </c>
      <c r="D8" s="45" t="str">
        <f>IF(記録!N10="","",記録!N10)</f>
        <v/>
      </c>
      <c r="E8" s="23" t="str">
        <f>IF(記録!G10="","",記録!G10)</f>
        <v/>
      </c>
      <c r="F8" s="44" t="str">
        <f>IF(記録!H10="","",記録!H10)</f>
        <v/>
      </c>
      <c r="G8" s="44" t="str">
        <f>IF(記録!I10="","",記録!I10)</f>
        <v/>
      </c>
      <c r="H8" s="46" t="str">
        <f>IF(記録!J10="","",記録!J10)</f>
        <v/>
      </c>
      <c r="I8" s="222" t="s">
        <v>27</v>
      </c>
    </row>
    <row r="9" spans="1:9" x14ac:dyDescent="0.55000000000000004">
      <c r="A9" s="33">
        <f>IF(記録!K11="","",記録!K11)</f>
        <v>0</v>
      </c>
      <c r="B9" s="47">
        <f>IF(記録!L11="","",記録!L11)</f>
        <v>0</v>
      </c>
      <c r="C9" s="47">
        <f>IF(記録!M11="","",記録!M11)</f>
        <v>0</v>
      </c>
      <c r="D9" s="48">
        <f>IF(記録!N11="","",記録!N11)</f>
        <v>0</v>
      </c>
      <c r="E9" s="27">
        <f>IF(記録!G11="","",記録!G11)</f>
        <v>0</v>
      </c>
      <c r="F9" s="47">
        <f>IF(記録!H11="","",記録!H11)</f>
        <v>0</v>
      </c>
      <c r="G9" s="47">
        <f>IF(記録!I11="","",記録!I11)</f>
        <v>0</v>
      </c>
      <c r="H9" s="49">
        <f>IF(記録!J11="","",記録!J11)</f>
        <v>0</v>
      </c>
      <c r="I9" s="216" t="s">
        <v>20</v>
      </c>
    </row>
    <row r="10" spans="1:9" ht="51" customHeight="1" x14ac:dyDescent="0.55000000000000004">
      <c r="A10" s="217" t="str">
        <f>IF(記録!K12="","",記録!K12)</f>
        <v/>
      </c>
      <c r="B10" s="38" t="str">
        <f>IF(記録!L12="","",記録!L12)</f>
        <v/>
      </c>
      <c r="C10" s="38" t="str">
        <f>IF(記録!M12="","",記録!M12)</f>
        <v/>
      </c>
      <c r="D10" s="39" t="str">
        <f>IF(記録!N12="","",記録!N12)</f>
        <v/>
      </c>
      <c r="E10" s="15" t="str">
        <f>IF(記録!G12="","",記録!G12)</f>
        <v/>
      </c>
      <c r="F10" s="38" t="str">
        <f>IF(記録!H12="","",記録!H12)</f>
        <v/>
      </c>
      <c r="G10" s="38" t="str">
        <f>IF(記録!I12="","",記録!I12)</f>
        <v/>
      </c>
      <c r="H10" s="40" t="str">
        <f>IF(記録!J12="","",記録!J12)</f>
        <v/>
      </c>
      <c r="I10" s="218" t="s">
        <v>22</v>
      </c>
    </row>
    <row r="11" spans="1:9" ht="51" customHeight="1" x14ac:dyDescent="0.55000000000000004">
      <c r="A11" s="219" t="str">
        <f>IF(記録!K13="","",記録!K13)</f>
        <v/>
      </c>
      <c r="B11" s="41" t="str">
        <f>IF(記録!L13="","",記録!L13)</f>
        <v/>
      </c>
      <c r="C11" s="41" t="str">
        <f>IF(記録!M13="","",記録!M13)</f>
        <v/>
      </c>
      <c r="D11" s="42" t="str">
        <f>IF(記録!N13="","",記録!N13)</f>
        <v/>
      </c>
      <c r="E11" s="19" t="str">
        <f>IF(記録!G13="","",記録!G13)</f>
        <v/>
      </c>
      <c r="F11" s="41" t="str">
        <f>IF(記録!H13="","",記録!H13)</f>
        <v/>
      </c>
      <c r="G11" s="41" t="str">
        <f>IF(記録!I13="","",記録!I13)</f>
        <v/>
      </c>
      <c r="H11" s="43" t="str">
        <f>IF(記録!J13="","",記録!J13)</f>
        <v/>
      </c>
      <c r="I11" s="220" t="s">
        <v>23</v>
      </c>
    </row>
    <row r="12" spans="1:9" ht="51" customHeight="1" x14ac:dyDescent="0.55000000000000004">
      <c r="A12" s="219" t="str">
        <f>IF(記録!K14="","",記録!K14)</f>
        <v/>
      </c>
      <c r="B12" s="41" t="str">
        <f>IF(記録!L14="","",記録!L14)</f>
        <v/>
      </c>
      <c r="C12" s="41" t="str">
        <f>IF(記録!M14="","",記録!M14)</f>
        <v/>
      </c>
      <c r="D12" s="42" t="str">
        <f>IF(記録!N14="","",記録!N14)</f>
        <v/>
      </c>
      <c r="E12" s="19" t="str">
        <f>IF(記録!G14="","",記録!G14)</f>
        <v/>
      </c>
      <c r="F12" s="41" t="str">
        <f>IF(記録!H14="","",記録!H14)</f>
        <v/>
      </c>
      <c r="G12" s="41" t="str">
        <f>IF(記録!I14="","",記録!I14)</f>
        <v/>
      </c>
      <c r="H12" s="43" t="str">
        <f>IF(記録!J14="","",記録!J14)</f>
        <v/>
      </c>
      <c r="I12" s="220" t="s">
        <v>25</v>
      </c>
    </row>
    <row r="13" spans="1:9" ht="51" customHeight="1" thickBot="1" x14ac:dyDescent="0.6">
      <c r="A13" s="221" t="str">
        <f>IF(記録!K15="","",記録!K15)</f>
        <v/>
      </c>
      <c r="B13" s="44" t="str">
        <f>IF(記録!L15="","",記録!L15)</f>
        <v/>
      </c>
      <c r="C13" s="44" t="str">
        <f>IF(記録!M15="","",記録!M15)</f>
        <v/>
      </c>
      <c r="D13" s="45" t="str">
        <f>IF(記録!N15="","",記録!N15)</f>
        <v/>
      </c>
      <c r="E13" s="23" t="str">
        <f>IF(記録!G15="","",記録!G15)</f>
        <v/>
      </c>
      <c r="F13" s="44" t="str">
        <f>IF(記録!H15="","",記録!H15)</f>
        <v/>
      </c>
      <c r="G13" s="44" t="str">
        <f>IF(記録!I15="","",記録!I15)</f>
        <v/>
      </c>
      <c r="H13" s="46" t="str">
        <f>IF(記録!J15="","",記録!J15)</f>
        <v/>
      </c>
      <c r="I13" s="222" t="s">
        <v>27</v>
      </c>
    </row>
    <row r="14" spans="1:9" x14ac:dyDescent="0.55000000000000004">
      <c r="A14" s="33">
        <f>IF(記録!K16="","",記録!K16)</f>
        <v>12</v>
      </c>
      <c r="B14" s="47">
        <f>IF(記録!L16="","",記録!L16)</f>
        <v>11</v>
      </c>
      <c r="C14" s="47">
        <f>IF(記録!M16="","",記録!M16)</f>
        <v>10</v>
      </c>
      <c r="D14" s="48">
        <f>IF(記録!N16="","",記録!N16)</f>
        <v>9</v>
      </c>
      <c r="E14" s="27">
        <f>IF(記録!G16="","",記録!G16)</f>
        <v>16</v>
      </c>
      <c r="F14" s="47">
        <f>IF(記録!H16="","",記録!H16)</f>
        <v>15</v>
      </c>
      <c r="G14" s="47">
        <f>IF(記録!I16="","",記録!I16)</f>
        <v>14</v>
      </c>
      <c r="H14" s="49">
        <f>IF(記録!J16="","",記録!J16)</f>
        <v>13</v>
      </c>
      <c r="I14" s="216" t="s">
        <v>18</v>
      </c>
    </row>
    <row r="15" spans="1:9" x14ac:dyDescent="0.55000000000000004">
      <c r="A15" s="223" t="str">
        <f>IF(記録!K17="","",記録!K17)</f>
        <v>男</v>
      </c>
      <c r="B15" s="50" t="str">
        <f>IF(記録!L17="","",記録!L17)</f>
        <v>女</v>
      </c>
      <c r="C15" s="50" t="str">
        <f>IF(記録!M17="","",記録!M17)</f>
        <v>男</v>
      </c>
      <c r="D15" s="51" t="str">
        <f>IF(記録!N17="","",記録!N17)</f>
        <v>男</v>
      </c>
      <c r="E15" s="31" t="str">
        <f>IF(記録!G17="","",記録!G17)</f>
        <v>女</v>
      </c>
      <c r="F15" s="50" t="str">
        <f>IF(記録!H17="","",記録!H17)</f>
        <v>男</v>
      </c>
      <c r="G15" s="50" t="str">
        <f>IF(記録!I17="","",記録!I17)</f>
        <v>女</v>
      </c>
      <c r="H15" s="52" t="str">
        <f>IF(記録!J17="","",記録!J17)</f>
        <v>男</v>
      </c>
      <c r="I15" s="216" t="s">
        <v>35</v>
      </c>
    </row>
    <row r="16" spans="1:9" ht="245" customHeight="1" thickBot="1" x14ac:dyDescent="0.6">
      <c r="A16" s="224" t="str">
        <f>IF(記録!K18="","",記録!K18)</f>
        <v>加藤 忠人</v>
      </c>
      <c r="B16" s="6" t="str">
        <f>IF(記録!L18="","",記録!L18)</f>
        <v>村瀬 沙織</v>
      </c>
      <c r="C16" s="6" t="str">
        <f>IF(記録!M18="","",記録!M18)</f>
        <v>大槻 成実</v>
      </c>
      <c r="D16" s="7" t="str">
        <f>IF(記録!N18="","",記録!N18)</f>
        <v>丹羽 泰生</v>
      </c>
      <c r="E16" s="4" t="str">
        <f>IF(記録!G18="","",記録!G18)</f>
        <v>荒川 花子</v>
      </c>
      <c r="F16" s="6" t="str">
        <f>IF(記録!H18="","",記録!H18)</f>
        <v>杉原 伸哉</v>
      </c>
      <c r="G16" s="6" t="str">
        <f>IF(記録!I18="","",記録!I18)</f>
        <v>渡邉 由美子</v>
      </c>
      <c r="H16" s="8" t="str">
        <f>IF(記録!J18="","",記録!J18)</f>
        <v>北崎 良治</v>
      </c>
      <c r="I16" s="230" t="s">
        <v>124</v>
      </c>
    </row>
  </sheetData>
  <mergeCells count="4">
    <mergeCell ref="E1:H1"/>
    <mergeCell ref="A1:D1"/>
    <mergeCell ref="E2:H2"/>
    <mergeCell ref="A2:D2"/>
  </mergeCells>
  <phoneticPr fontId="1"/>
  <pageMargins left="0.23622047244094491" right="0.23622047244094491" top="1.0533333333333332" bottom="0.74803149606299213" header="0.31496062992125984" footer="0.31496062992125984"/>
  <pageSetup paperSize="9" scale="74" orientation="portrait" r:id="rId1"/>
  <headerFooter>
    <oddHeader>&amp;C&amp;"メイリオ,ボールド"&amp;28 2021 東尾張エリア弓道大会　チーム記録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BD5EF-4909-4B26-B460-5B7F09896589}">
  <sheetPr>
    <pageSetUpPr fitToPage="1"/>
  </sheetPr>
  <dimension ref="A1:I16"/>
  <sheetViews>
    <sheetView view="pageLayout" zoomScaleNormal="100" workbookViewId="0">
      <selection sqref="A1:D1"/>
    </sheetView>
  </sheetViews>
  <sheetFormatPr defaultColWidth="3.58203125" defaultRowHeight="38" x14ac:dyDescent="0.55000000000000004"/>
  <cols>
    <col min="1" max="8" width="12.33203125" style="1" customWidth="1"/>
    <col min="9" max="9" width="23.58203125" style="1" customWidth="1"/>
    <col min="10" max="16384" width="3.58203125" style="1"/>
  </cols>
  <sheetData>
    <row r="1" spans="1:9" x14ac:dyDescent="0.55000000000000004">
      <c r="A1" s="210" t="str">
        <f>IF(記録!S20="","",記録!S20)</f>
        <v>尾張旭A</v>
      </c>
      <c r="B1" s="205"/>
      <c r="C1" s="205"/>
      <c r="D1" s="205"/>
      <c r="E1" s="204" t="str">
        <f>IF(記録!O20="","",記録!O20)</f>
        <v>尾張旭B</v>
      </c>
      <c r="F1" s="205"/>
      <c r="G1" s="205"/>
      <c r="H1" s="206"/>
      <c r="I1" s="211" t="s">
        <v>2</v>
      </c>
    </row>
    <row r="2" spans="1:9" x14ac:dyDescent="0.55000000000000004">
      <c r="A2" s="212">
        <f>IF(記録!S21="","",記録!S21)</f>
        <v>0</v>
      </c>
      <c r="B2" s="208"/>
      <c r="C2" s="208"/>
      <c r="D2" s="208"/>
      <c r="E2" s="207">
        <f>IF(記録!O21="","",記録!O21)</f>
        <v>0</v>
      </c>
      <c r="F2" s="208"/>
      <c r="G2" s="208"/>
      <c r="H2" s="209"/>
      <c r="I2" s="213" t="s">
        <v>3</v>
      </c>
    </row>
    <row r="3" spans="1:9" ht="38.5" thickBot="1" x14ac:dyDescent="0.6">
      <c r="A3" s="214">
        <f>IF(記録!S23="","",記録!S23)</f>
        <v>0</v>
      </c>
      <c r="B3" s="53">
        <f>IF(記録!T23="","",記録!T23)</f>
        <v>0</v>
      </c>
      <c r="C3" s="53">
        <f>IF(記録!U23="","",記録!U23)</f>
        <v>0</v>
      </c>
      <c r="D3" s="54">
        <f>IF(記録!V23="","",記録!V23)</f>
        <v>0</v>
      </c>
      <c r="E3" s="55">
        <f>IF(記録!O23="","",記録!O23)</f>
        <v>0</v>
      </c>
      <c r="F3" s="53">
        <f>IF(記録!P23="","",記録!P23)</f>
        <v>0</v>
      </c>
      <c r="G3" s="53">
        <f>IF(記録!Q23="","",記録!Q23)</f>
        <v>0</v>
      </c>
      <c r="H3" s="56">
        <f>IF(記録!R23="","",記録!R23)</f>
        <v>0</v>
      </c>
      <c r="I3" s="215" t="s">
        <v>4</v>
      </c>
    </row>
    <row r="4" spans="1:9" ht="38.5" thickTop="1" x14ac:dyDescent="0.55000000000000004">
      <c r="A4" s="34">
        <f>IF(記録!S24="","",記録!S24)</f>
        <v>0</v>
      </c>
      <c r="B4" s="9">
        <f>IF(記録!T24="","",記録!T24)</f>
        <v>0</v>
      </c>
      <c r="C4" s="9">
        <f>IF(記録!U24="","",記録!U24)</f>
        <v>0</v>
      </c>
      <c r="D4" s="10">
        <f>IF(記録!V24="","",記録!V24)</f>
        <v>0</v>
      </c>
      <c r="E4" s="11">
        <f>IF(記録!O24="","",記録!O24)</f>
        <v>0</v>
      </c>
      <c r="F4" s="9">
        <f>IF(記録!P24="","",記録!P24)</f>
        <v>0</v>
      </c>
      <c r="G4" s="9">
        <f>IF(記録!Q24="","",記録!Q24)</f>
        <v>0</v>
      </c>
      <c r="H4" s="12">
        <f>IF(記録!R24="","",記録!R24)</f>
        <v>0</v>
      </c>
      <c r="I4" s="216" t="s">
        <v>19</v>
      </c>
    </row>
    <row r="5" spans="1:9" ht="51" customHeight="1" x14ac:dyDescent="0.55000000000000004">
      <c r="A5" s="217" t="str">
        <f>IF(記録!S25="","",記録!S25)</f>
        <v/>
      </c>
      <c r="B5" s="13" t="str">
        <f>IF(記録!T25="","",記録!T25)</f>
        <v/>
      </c>
      <c r="C5" s="13" t="str">
        <f>IF(記録!U25="","",記録!U25)</f>
        <v/>
      </c>
      <c r="D5" s="14" t="str">
        <f>IF(記録!V25="","",記録!V25)</f>
        <v/>
      </c>
      <c r="E5" s="15" t="str">
        <f>IF(記録!O25="","",記録!O25)</f>
        <v/>
      </c>
      <c r="F5" s="13" t="str">
        <f>IF(記録!P25="","",記録!P25)</f>
        <v/>
      </c>
      <c r="G5" s="13" t="str">
        <f>IF(記録!Q25="","",記録!Q25)</f>
        <v/>
      </c>
      <c r="H5" s="16" t="str">
        <f>IF(記録!R25="","",記録!R25)</f>
        <v/>
      </c>
      <c r="I5" s="218" t="s">
        <v>22</v>
      </c>
    </row>
    <row r="6" spans="1:9" ht="51" customHeight="1" x14ac:dyDescent="0.55000000000000004">
      <c r="A6" s="219" t="str">
        <f>IF(記録!S26="","",記録!S26)</f>
        <v/>
      </c>
      <c r="B6" s="17" t="str">
        <f>IF(記録!T26="","",記録!T26)</f>
        <v/>
      </c>
      <c r="C6" s="17" t="str">
        <f>IF(記録!U26="","",記録!U26)</f>
        <v/>
      </c>
      <c r="D6" s="18" t="str">
        <f>IF(記録!V26="","",記録!V26)</f>
        <v/>
      </c>
      <c r="E6" s="19" t="str">
        <f>IF(記録!O26="","",記録!O26)</f>
        <v/>
      </c>
      <c r="F6" s="17" t="str">
        <f>IF(記録!P26="","",記録!P26)</f>
        <v/>
      </c>
      <c r="G6" s="17" t="str">
        <f>IF(記録!Q26="","",記録!Q26)</f>
        <v/>
      </c>
      <c r="H6" s="20" t="str">
        <f>IF(記録!R26="","",記録!R26)</f>
        <v/>
      </c>
      <c r="I6" s="220" t="s">
        <v>23</v>
      </c>
    </row>
    <row r="7" spans="1:9" ht="51" customHeight="1" x14ac:dyDescent="0.55000000000000004">
      <c r="A7" s="219" t="str">
        <f>IF(記録!S27="","",記録!S27)</f>
        <v/>
      </c>
      <c r="B7" s="17" t="str">
        <f>IF(記録!T27="","",記録!T27)</f>
        <v/>
      </c>
      <c r="C7" s="17" t="str">
        <f>IF(記録!U27="","",記録!U27)</f>
        <v/>
      </c>
      <c r="D7" s="18" t="str">
        <f>IF(記録!V27="","",記録!V27)</f>
        <v/>
      </c>
      <c r="E7" s="19" t="str">
        <f>IF(記録!O27="","",記録!O27)</f>
        <v/>
      </c>
      <c r="F7" s="17" t="str">
        <f>IF(記録!P27="","",記録!P27)</f>
        <v/>
      </c>
      <c r="G7" s="17" t="str">
        <f>IF(記録!Q27="","",記録!Q27)</f>
        <v/>
      </c>
      <c r="H7" s="20" t="str">
        <f>IF(記録!R27="","",記録!R27)</f>
        <v/>
      </c>
      <c r="I7" s="220" t="s">
        <v>25</v>
      </c>
    </row>
    <row r="8" spans="1:9" ht="51" customHeight="1" thickBot="1" x14ac:dyDescent="0.6">
      <c r="A8" s="221" t="str">
        <f>IF(記録!S28="","",記録!S28)</f>
        <v/>
      </c>
      <c r="B8" s="21" t="str">
        <f>IF(記録!T28="","",記録!T28)</f>
        <v/>
      </c>
      <c r="C8" s="21" t="str">
        <f>IF(記録!U28="","",記録!U28)</f>
        <v/>
      </c>
      <c r="D8" s="22" t="str">
        <f>IF(記録!V28="","",記録!V28)</f>
        <v/>
      </c>
      <c r="E8" s="23" t="str">
        <f>IF(記録!O28="","",記録!O28)</f>
        <v/>
      </c>
      <c r="F8" s="21" t="str">
        <f>IF(記録!P28="","",記録!P28)</f>
        <v/>
      </c>
      <c r="G8" s="21" t="str">
        <f>IF(記録!Q28="","",記録!Q28)</f>
        <v/>
      </c>
      <c r="H8" s="24" t="str">
        <f>IF(記録!R28="","",記録!R28)</f>
        <v/>
      </c>
      <c r="I8" s="222" t="s">
        <v>27</v>
      </c>
    </row>
    <row r="9" spans="1:9" x14ac:dyDescent="0.55000000000000004">
      <c r="A9" s="33">
        <f>IF(記録!S29="","",記録!S29)</f>
        <v>0</v>
      </c>
      <c r="B9" s="25">
        <f>IF(記録!T29="","",記録!T29)</f>
        <v>0</v>
      </c>
      <c r="C9" s="25">
        <f>IF(記録!U29="","",記録!U29)</f>
        <v>0</v>
      </c>
      <c r="D9" s="26">
        <f>IF(記録!V29="","",記録!V29)</f>
        <v>0</v>
      </c>
      <c r="E9" s="27">
        <f>IF(記録!O29="","",記録!O29)</f>
        <v>0</v>
      </c>
      <c r="F9" s="25">
        <f>IF(記録!P29="","",記録!P29)</f>
        <v>0</v>
      </c>
      <c r="G9" s="25">
        <f>IF(記録!Q29="","",記録!Q29)</f>
        <v>0</v>
      </c>
      <c r="H9" s="28">
        <f>IF(記録!R29="","",記録!R29)</f>
        <v>0</v>
      </c>
      <c r="I9" s="216" t="s">
        <v>20</v>
      </c>
    </row>
    <row r="10" spans="1:9" ht="51" customHeight="1" x14ac:dyDescent="0.55000000000000004">
      <c r="A10" s="217" t="str">
        <f>IF(記録!S30="","",記録!S30)</f>
        <v/>
      </c>
      <c r="B10" s="13" t="str">
        <f>IF(記録!T30="","",記録!T30)</f>
        <v/>
      </c>
      <c r="C10" s="13" t="str">
        <f>IF(記録!U30="","",記録!U30)</f>
        <v/>
      </c>
      <c r="D10" s="14" t="str">
        <f>IF(記録!V30="","",記録!V30)</f>
        <v/>
      </c>
      <c r="E10" s="15" t="str">
        <f>IF(記録!O30="","",記録!O30)</f>
        <v/>
      </c>
      <c r="F10" s="13" t="str">
        <f>IF(記録!P30="","",記録!P30)</f>
        <v/>
      </c>
      <c r="G10" s="13" t="str">
        <f>IF(記録!Q30="","",記録!Q30)</f>
        <v/>
      </c>
      <c r="H10" s="16" t="str">
        <f>IF(記録!R30="","",記録!R30)</f>
        <v/>
      </c>
      <c r="I10" s="218" t="s">
        <v>22</v>
      </c>
    </row>
    <row r="11" spans="1:9" ht="51" customHeight="1" x14ac:dyDescent="0.55000000000000004">
      <c r="A11" s="219" t="str">
        <f>IF(記録!S31="","",記録!S31)</f>
        <v/>
      </c>
      <c r="B11" s="17" t="str">
        <f>IF(記録!T31="","",記録!T31)</f>
        <v/>
      </c>
      <c r="C11" s="17" t="str">
        <f>IF(記録!U31="","",記録!U31)</f>
        <v/>
      </c>
      <c r="D11" s="18" t="str">
        <f>IF(記録!V31="","",記録!V31)</f>
        <v/>
      </c>
      <c r="E11" s="19" t="str">
        <f>IF(記録!O31="","",記録!O31)</f>
        <v/>
      </c>
      <c r="F11" s="17" t="str">
        <f>IF(記録!P31="","",記録!P31)</f>
        <v/>
      </c>
      <c r="G11" s="17" t="str">
        <f>IF(記録!Q31="","",記録!Q31)</f>
        <v/>
      </c>
      <c r="H11" s="20" t="str">
        <f>IF(記録!R31="","",記録!R31)</f>
        <v/>
      </c>
      <c r="I11" s="220" t="s">
        <v>23</v>
      </c>
    </row>
    <row r="12" spans="1:9" ht="51" customHeight="1" x14ac:dyDescent="0.55000000000000004">
      <c r="A12" s="219" t="str">
        <f>IF(記録!S32="","",記録!S32)</f>
        <v/>
      </c>
      <c r="B12" s="17" t="str">
        <f>IF(記録!T32="","",記録!T32)</f>
        <v/>
      </c>
      <c r="C12" s="17" t="str">
        <f>IF(記録!U32="","",記録!U32)</f>
        <v/>
      </c>
      <c r="D12" s="18" t="str">
        <f>IF(記録!V32="","",記録!V32)</f>
        <v/>
      </c>
      <c r="E12" s="19" t="str">
        <f>IF(記録!O32="","",記録!O32)</f>
        <v/>
      </c>
      <c r="F12" s="17" t="str">
        <f>IF(記録!P32="","",記録!P32)</f>
        <v/>
      </c>
      <c r="G12" s="17" t="str">
        <f>IF(記録!Q32="","",記録!Q32)</f>
        <v/>
      </c>
      <c r="H12" s="20" t="str">
        <f>IF(記録!R32="","",記録!R32)</f>
        <v/>
      </c>
      <c r="I12" s="220" t="s">
        <v>25</v>
      </c>
    </row>
    <row r="13" spans="1:9" ht="51" customHeight="1" thickBot="1" x14ac:dyDescent="0.6">
      <c r="A13" s="221" t="str">
        <f>IF(記録!S33="","",記録!S33)</f>
        <v/>
      </c>
      <c r="B13" s="21" t="str">
        <f>IF(記録!T33="","",記録!T33)</f>
        <v/>
      </c>
      <c r="C13" s="21" t="str">
        <f>IF(記録!U33="","",記録!U33)</f>
        <v/>
      </c>
      <c r="D13" s="22" t="str">
        <f>IF(記録!V33="","",記録!V33)</f>
        <v/>
      </c>
      <c r="E13" s="23" t="str">
        <f>IF(記録!O33="","",記録!O33)</f>
        <v/>
      </c>
      <c r="F13" s="21" t="str">
        <f>IF(記録!P33="","",記録!P33)</f>
        <v/>
      </c>
      <c r="G13" s="21" t="str">
        <f>IF(記録!Q33="","",記録!Q33)</f>
        <v/>
      </c>
      <c r="H13" s="24" t="str">
        <f>IF(記録!R33="","",記録!R33)</f>
        <v/>
      </c>
      <c r="I13" s="222" t="s">
        <v>27</v>
      </c>
    </row>
    <row r="14" spans="1:9" x14ac:dyDescent="0.55000000000000004">
      <c r="A14" s="33">
        <f>IF(記録!S34="","",記録!S34)</f>
        <v>24</v>
      </c>
      <c r="B14" s="25">
        <f>IF(記録!T34="","",記録!T34)</f>
        <v>23</v>
      </c>
      <c r="C14" s="25">
        <f>IF(記録!U34="","",記録!U34)</f>
        <v>22</v>
      </c>
      <c r="D14" s="26">
        <f>IF(記録!V34="","",記録!V34)</f>
        <v>21</v>
      </c>
      <c r="E14" s="27">
        <f>IF(記録!O34="","",記録!O34)</f>
        <v>28</v>
      </c>
      <c r="F14" s="25">
        <f>IF(記録!P34="","",記録!P34)</f>
        <v>27</v>
      </c>
      <c r="G14" s="25">
        <f>IF(記録!Q34="","",記録!Q34)</f>
        <v>26</v>
      </c>
      <c r="H14" s="28">
        <f>IF(記録!R34="","",記録!R34)</f>
        <v>25</v>
      </c>
      <c r="I14" s="216" t="s">
        <v>18</v>
      </c>
    </row>
    <row r="15" spans="1:9" x14ac:dyDescent="0.55000000000000004">
      <c r="A15" s="223" t="str">
        <f>IF(記録!S35="","",記録!S35)</f>
        <v>男</v>
      </c>
      <c r="B15" s="29" t="str">
        <f>IF(記録!T35="","",記録!T35)</f>
        <v>男</v>
      </c>
      <c r="C15" s="29" t="str">
        <f>IF(記録!U35="","",記録!U35)</f>
        <v>男</v>
      </c>
      <c r="D15" s="30" t="str">
        <f>IF(記録!V35="","",記録!V35)</f>
        <v>男</v>
      </c>
      <c r="E15" s="31" t="str">
        <f>IF(記録!O35="","",記録!O35)</f>
        <v>女</v>
      </c>
      <c r="F15" s="29" t="str">
        <f>IF(記録!P35="","",記録!P35)</f>
        <v>女</v>
      </c>
      <c r="G15" s="29" t="str">
        <f>IF(記録!Q35="","",記録!Q35)</f>
        <v>女</v>
      </c>
      <c r="H15" s="32" t="str">
        <f>IF(記録!R35="","",記録!R35)</f>
        <v>女</v>
      </c>
      <c r="I15" s="216" t="s">
        <v>35</v>
      </c>
    </row>
    <row r="16" spans="1:9" ht="245" customHeight="1" thickBot="1" x14ac:dyDescent="0.6">
      <c r="A16" s="224" t="str">
        <f>IF(記録!S36="","",記録!S36)</f>
        <v>西尾 雅司</v>
      </c>
      <c r="B16" s="2" t="str">
        <f>IF(記録!T36="","",記録!T36)</f>
        <v>山田 英治</v>
      </c>
      <c r="C16" s="2" t="str">
        <f>IF(記録!U36="","",記録!U36)</f>
        <v>阿知波 正</v>
      </c>
      <c r="D16" s="3" t="str">
        <f>IF(記録!V36="","",記録!V36)</f>
        <v>大竹 誠</v>
      </c>
      <c r="E16" s="4" t="str">
        <f>IF(記録!O36="","",記録!O36)</f>
        <v>安達 初枝</v>
      </c>
      <c r="F16" s="2" t="str">
        <f>IF(記録!P36="","",記録!P36)</f>
        <v>田中 沙紀子</v>
      </c>
      <c r="G16" s="2" t="str">
        <f>IF(記録!Q36="","",記録!Q36)</f>
        <v>高田 優子</v>
      </c>
      <c r="H16" s="5" t="str">
        <f>IF(記録!R36="","",記録!R36)</f>
        <v>北川 裕希子</v>
      </c>
      <c r="I16" s="230" t="s">
        <v>124</v>
      </c>
    </row>
  </sheetData>
  <mergeCells count="4">
    <mergeCell ref="E1:H1"/>
    <mergeCell ref="E2:H2"/>
    <mergeCell ref="A1:D1"/>
    <mergeCell ref="A2:D2"/>
  </mergeCells>
  <phoneticPr fontId="1"/>
  <pageMargins left="0.23622047244094491" right="0.23622047244094491" top="1.0533333333333332" bottom="0.74803149606299213" header="0.31496062992125984" footer="0.31496062992125984"/>
  <pageSetup paperSize="9" scale="74" orientation="portrait" r:id="rId1"/>
  <headerFooter>
    <oddHeader>&amp;C&amp;"メイリオ,ボールド"&amp;28 2021 東尾張エリア弓道大会　チーム記録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FA303-E5C1-4214-A10C-FFE17F693704}">
  <sheetPr>
    <pageSetUpPr fitToPage="1"/>
  </sheetPr>
  <dimension ref="A1:I16"/>
  <sheetViews>
    <sheetView view="pageLayout" zoomScaleNormal="100" workbookViewId="0">
      <selection sqref="A1:D1"/>
    </sheetView>
  </sheetViews>
  <sheetFormatPr defaultColWidth="3.58203125" defaultRowHeight="38" x14ac:dyDescent="0.55000000000000004"/>
  <cols>
    <col min="1" max="8" width="12.33203125" style="1" customWidth="1"/>
    <col min="9" max="9" width="23.58203125" style="1" customWidth="1"/>
    <col min="10" max="10" width="3.9140625" style="1" bestFit="1" customWidth="1"/>
    <col min="11" max="16384" width="3.58203125" style="1"/>
  </cols>
  <sheetData>
    <row r="1" spans="1:9" x14ac:dyDescent="0.55000000000000004">
      <c r="A1" s="210" t="str">
        <f>IF(記録!K20="","",記録!K20)</f>
        <v>日進A</v>
      </c>
      <c r="B1" s="205"/>
      <c r="C1" s="205"/>
      <c r="D1" s="205"/>
      <c r="E1" s="204" t="str">
        <f>IF(記録!G20="","",記録!G20)</f>
        <v>日進B</v>
      </c>
      <c r="F1" s="205"/>
      <c r="G1" s="205"/>
      <c r="H1" s="206"/>
      <c r="I1" s="211" t="s">
        <v>2</v>
      </c>
    </row>
    <row r="2" spans="1:9" x14ac:dyDescent="0.55000000000000004">
      <c r="A2" s="212">
        <f>IF(記録!K21="","",記録!K21)</f>
        <v>0</v>
      </c>
      <c r="B2" s="208"/>
      <c r="C2" s="208"/>
      <c r="D2" s="208"/>
      <c r="E2" s="207">
        <f>IF(記録!G21="","",記録!G21)</f>
        <v>0</v>
      </c>
      <c r="F2" s="208"/>
      <c r="G2" s="208"/>
      <c r="H2" s="209"/>
      <c r="I2" s="213" t="s">
        <v>3</v>
      </c>
    </row>
    <row r="3" spans="1:9" ht="38.5" thickBot="1" x14ac:dyDescent="0.6">
      <c r="A3" s="214">
        <f>IF(記録!K23="","",記録!K23)</f>
        <v>0</v>
      </c>
      <c r="B3" s="53">
        <f>IF(記録!L23="","",記録!L23)</f>
        <v>0</v>
      </c>
      <c r="C3" s="53">
        <f>IF(記録!M23="","",記録!M23)</f>
        <v>0</v>
      </c>
      <c r="D3" s="54">
        <f>IF(記録!N23="","",記録!N23)</f>
        <v>0</v>
      </c>
      <c r="E3" s="55">
        <f>IF(記録!G23="","",記録!G23)</f>
        <v>0</v>
      </c>
      <c r="F3" s="53">
        <f>IF(記録!H23="","",記録!H23)</f>
        <v>0</v>
      </c>
      <c r="G3" s="53">
        <f>IF(記録!I23="","",記録!I23)</f>
        <v>0</v>
      </c>
      <c r="H3" s="56">
        <f>IF(記録!J23="","",記録!J23)</f>
        <v>0</v>
      </c>
      <c r="I3" s="215" t="s">
        <v>4</v>
      </c>
    </row>
    <row r="4" spans="1:9" ht="38.5" thickTop="1" x14ac:dyDescent="0.55000000000000004">
      <c r="A4" s="34">
        <f>IF(記録!K24="","",記録!K24)</f>
        <v>0</v>
      </c>
      <c r="B4" s="9">
        <f>IF(記録!L24="","",記録!L24)</f>
        <v>0</v>
      </c>
      <c r="C4" s="9">
        <f>IF(記録!M24="","",記録!M24)</f>
        <v>0</v>
      </c>
      <c r="D4" s="10">
        <f>IF(記録!N24="","",記録!N24)</f>
        <v>0</v>
      </c>
      <c r="E4" s="11">
        <f>IF(記録!G24="","",記録!G24)</f>
        <v>0</v>
      </c>
      <c r="F4" s="9">
        <f>IF(記録!H24="","",記録!H24)</f>
        <v>0</v>
      </c>
      <c r="G4" s="9">
        <f>IF(記録!I24="","",記録!I24)</f>
        <v>0</v>
      </c>
      <c r="H4" s="12">
        <f>IF(記録!J24="","",記録!J24)</f>
        <v>0</v>
      </c>
      <c r="I4" s="216" t="s">
        <v>19</v>
      </c>
    </row>
    <row r="5" spans="1:9" ht="51" customHeight="1" x14ac:dyDescent="0.55000000000000004">
      <c r="A5" s="217" t="str">
        <f>IF(記録!K25="","",記録!K25)</f>
        <v/>
      </c>
      <c r="B5" s="13" t="str">
        <f>IF(記録!L25="","",記録!L25)</f>
        <v/>
      </c>
      <c r="C5" s="13" t="str">
        <f>IF(記録!M25="","",記録!M25)</f>
        <v/>
      </c>
      <c r="D5" s="14" t="str">
        <f>IF(記録!N25="","",記録!N25)</f>
        <v/>
      </c>
      <c r="E5" s="15" t="str">
        <f>IF(記録!G25="","",記録!G25)</f>
        <v/>
      </c>
      <c r="F5" s="13" t="str">
        <f>IF(記録!H25="","",記録!H25)</f>
        <v/>
      </c>
      <c r="G5" s="13" t="str">
        <f>IF(記録!I25="","",記録!I25)</f>
        <v/>
      </c>
      <c r="H5" s="16" t="str">
        <f>IF(記録!J25="","",記録!J25)</f>
        <v/>
      </c>
      <c r="I5" s="218" t="s">
        <v>22</v>
      </c>
    </row>
    <row r="6" spans="1:9" ht="51" customHeight="1" x14ac:dyDescent="0.55000000000000004">
      <c r="A6" s="219" t="str">
        <f>IF(記録!K26="","",記録!K26)</f>
        <v/>
      </c>
      <c r="B6" s="17" t="str">
        <f>IF(記録!L26="","",記録!L26)</f>
        <v/>
      </c>
      <c r="C6" s="17" t="str">
        <f>IF(記録!M26="","",記録!M26)</f>
        <v/>
      </c>
      <c r="D6" s="18" t="str">
        <f>IF(記録!N26="","",記録!N26)</f>
        <v/>
      </c>
      <c r="E6" s="19" t="str">
        <f>IF(記録!G26="","",記録!G26)</f>
        <v/>
      </c>
      <c r="F6" s="17" t="str">
        <f>IF(記録!H26="","",記録!H26)</f>
        <v/>
      </c>
      <c r="G6" s="17" t="str">
        <f>IF(記録!I26="","",記録!I26)</f>
        <v/>
      </c>
      <c r="H6" s="20" t="str">
        <f>IF(記録!J26="","",記録!J26)</f>
        <v/>
      </c>
      <c r="I6" s="220" t="s">
        <v>23</v>
      </c>
    </row>
    <row r="7" spans="1:9" ht="51" customHeight="1" x14ac:dyDescent="0.55000000000000004">
      <c r="A7" s="219" t="str">
        <f>IF(記録!K27="","",記録!K27)</f>
        <v/>
      </c>
      <c r="B7" s="17" t="str">
        <f>IF(記録!L27="","",記録!L27)</f>
        <v/>
      </c>
      <c r="C7" s="17" t="str">
        <f>IF(記録!M27="","",記録!M27)</f>
        <v/>
      </c>
      <c r="D7" s="18" t="str">
        <f>IF(記録!N27="","",記録!N27)</f>
        <v/>
      </c>
      <c r="E7" s="19" t="str">
        <f>IF(記録!G27="","",記録!G27)</f>
        <v/>
      </c>
      <c r="F7" s="17" t="str">
        <f>IF(記録!H27="","",記録!H27)</f>
        <v/>
      </c>
      <c r="G7" s="17" t="str">
        <f>IF(記録!I27="","",記録!I27)</f>
        <v/>
      </c>
      <c r="H7" s="20" t="str">
        <f>IF(記録!J27="","",記録!J27)</f>
        <v/>
      </c>
      <c r="I7" s="220" t="s">
        <v>25</v>
      </c>
    </row>
    <row r="8" spans="1:9" ht="51" customHeight="1" thickBot="1" x14ac:dyDescent="0.6">
      <c r="A8" s="221" t="str">
        <f>IF(記録!K28="","",記録!K28)</f>
        <v/>
      </c>
      <c r="B8" s="21" t="str">
        <f>IF(記録!L28="","",記録!L28)</f>
        <v/>
      </c>
      <c r="C8" s="21" t="str">
        <f>IF(記録!M28="","",記録!M28)</f>
        <v/>
      </c>
      <c r="D8" s="22" t="str">
        <f>IF(記録!N28="","",記録!N28)</f>
        <v/>
      </c>
      <c r="E8" s="23" t="str">
        <f>IF(記録!G28="","",記録!G28)</f>
        <v/>
      </c>
      <c r="F8" s="21" t="str">
        <f>IF(記録!H28="","",記録!H28)</f>
        <v/>
      </c>
      <c r="G8" s="21" t="str">
        <f>IF(記録!I28="","",記録!I28)</f>
        <v/>
      </c>
      <c r="H8" s="24" t="str">
        <f>IF(記録!J28="","",記録!J28)</f>
        <v/>
      </c>
      <c r="I8" s="222" t="s">
        <v>27</v>
      </c>
    </row>
    <row r="9" spans="1:9" x14ac:dyDescent="0.55000000000000004">
      <c r="A9" s="33">
        <f>IF(記録!K29="","",記録!K29)</f>
        <v>0</v>
      </c>
      <c r="B9" s="25">
        <f>IF(記録!L29="","",記録!L29)</f>
        <v>0</v>
      </c>
      <c r="C9" s="25">
        <f>IF(記録!M29="","",記録!M29)</f>
        <v>0</v>
      </c>
      <c r="D9" s="26">
        <f>IF(記録!N29="","",記録!N29)</f>
        <v>0</v>
      </c>
      <c r="E9" s="27">
        <f>IF(記録!G29="","",記録!G29)</f>
        <v>0</v>
      </c>
      <c r="F9" s="25">
        <f>IF(記録!H29="","",記録!H29)</f>
        <v>0</v>
      </c>
      <c r="G9" s="25">
        <f>IF(記録!I29="","",記録!I29)</f>
        <v>0</v>
      </c>
      <c r="H9" s="28">
        <f>IF(記録!J29="","",記録!J29)</f>
        <v>0</v>
      </c>
      <c r="I9" s="216" t="s">
        <v>20</v>
      </c>
    </row>
    <row r="10" spans="1:9" ht="51" customHeight="1" x14ac:dyDescent="0.55000000000000004">
      <c r="A10" s="217" t="str">
        <f>IF(記録!K30="","",記録!K30)</f>
        <v/>
      </c>
      <c r="B10" s="13" t="str">
        <f>IF(記録!L30="","",記録!L30)</f>
        <v/>
      </c>
      <c r="C10" s="13" t="str">
        <f>IF(記録!M30="","",記録!M30)</f>
        <v/>
      </c>
      <c r="D10" s="14" t="str">
        <f>IF(記録!N30="","",記録!N30)</f>
        <v/>
      </c>
      <c r="E10" s="15" t="str">
        <f>IF(記録!G30="","",記録!G30)</f>
        <v/>
      </c>
      <c r="F10" s="13" t="str">
        <f>IF(記録!H30="","",記録!H30)</f>
        <v/>
      </c>
      <c r="G10" s="13" t="str">
        <f>IF(記録!I30="","",記録!I30)</f>
        <v/>
      </c>
      <c r="H10" s="16" t="str">
        <f>IF(記録!J30="","",記録!J30)</f>
        <v/>
      </c>
      <c r="I10" s="218" t="s">
        <v>22</v>
      </c>
    </row>
    <row r="11" spans="1:9" ht="51" customHeight="1" x14ac:dyDescent="0.55000000000000004">
      <c r="A11" s="219" t="str">
        <f>IF(記録!K31="","",記録!K31)</f>
        <v/>
      </c>
      <c r="B11" s="17" t="str">
        <f>IF(記録!L31="","",記録!L31)</f>
        <v/>
      </c>
      <c r="C11" s="17" t="str">
        <f>IF(記録!M31="","",記録!M31)</f>
        <v/>
      </c>
      <c r="D11" s="18" t="str">
        <f>IF(記録!N31="","",記録!N31)</f>
        <v/>
      </c>
      <c r="E11" s="19" t="str">
        <f>IF(記録!G31="","",記録!G31)</f>
        <v/>
      </c>
      <c r="F11" s="17" t="str">
        <f>IF(記録!H31="","",記録!H31)</f>
        <v/>
      </c>
      <c r="G11" s="17" t="str">
        <f>IF(記録!I31="","",記録!I31)</f>
        <v/>
      </c>
      <c r="H11" s="20" t="str">
        <f>IF(記録!J31="","",記録!J31)</f>
        <v/>
      </c>
      <c r="I11" s="220" t="s">
        <v>23</v>
      </c>
    </row>
    <row r="12" spans="1:9" ht="51" customHeight="1" x14ac:dyDescent="0.55000000000000004">
      <c r="A12" s="219" t="str">
        <f>IF(記録!K32="","",記録!K32)</f>
        <v/>
      </c>
      <c r="B12" s="17" t="str">
        <f>IF(記録!L32="","",記録!L32)</f>
        <v/>
      </c>
      <c r="C12" s="17" t="str">
        <f>IF(記録!M32="","",記録!M32)</f>
        <v/>
      </c>
      <c r="D12" s="18" t="str">
        <f>IF(記録!N32="","",記録!N32)</f>
        <v/>
      </c>
      <c r="E12" s="19" t="str">
        <f>IF(記録!G32="","",記録!G32)</f>
        <v/>
      </c>
      <c r="F12" s="17" t="str">
        <f>IF(記録!H32="","",記録!H32)</f>
        <v/>
      </c>
      <c r="G12" s="17" t="str">
        <f>IF(記録!I32="","",記録!I32)</f>
        <v/>
      </c>
      <c r="H12" s="20" t="str">
        <f>IF(記録!J32="","",記録!J32)</f>
        <v/>
      </c>
      <c r="I12" s="220" t="s">
        <v>25</v>
      </c>
    </row>
    <row r="13" spans="1:9" ht="51" customHeight="1" thickBot="1" x14ac:dyDescent="0.6">
      <c r="A13" s="221" t="str">
        <f>IF(記録!K33="","",記録!K33)</f>
        <v/>
      </c>
      <c r="B13" s="21" t="str">
        <f>IF(記録!L33="","",記録!L33)</f>
        <v/>
      </c>
      <c r="C13" s="21" t="str">
        <f>IF(記録!M33="","",記録!M33)</f>
        <v/>
      </c>
      <c r="D13" s="22" t="str">
        <f>IF(記録!N33="","",記録!N33)</f>
        <v/>
      </c>
      <c r="E13" s="23" t="str">
        <f>IF(記録!G33="","",記録!G33)</f>
        <v/>
      </c>
      <c r="F13" s="21" t="str">
        <f>IF(記録!H33="","",記録!H33)</f>
        <v/>
      </c>
      <c r="G13" s="21" t="str">
        <f>IF(記録!I33="","",記録!I33)</f>
        <v/>
      </c>
      <c r="H13" s="24" t="str">
        <f>IF(記録!J33="","",記録!J33)</f>
        <v/>
      </c>
      <c r="I13" s="222" t="s">
        <v>27</v>
      </c>
    </row>
    <row r="14" spans="1:9" x14ac:dyDescent="0.55000000000000004">
      <c r="A14" s="33">
        <f>IF(記録!K34="","",記録!K34)</f>
        <v>32</v>
      </c>
      <c r="B14" s="25">
        <f>IF(記録!L34="","",記録!L34)</f>
        <v>31</v>
      </c>
      <c r="C14" s="25">
        <f>IF(記録!M34="","",記録!M34)</f>
        <v>30</v>
      </c>
      <c r="D14" s="26">
        <f>IF(記録!N34="","",記録!N34)</f>
        <v>29</v>
      </c>
      <c r="E14" s="27">
        <f>IF(記録!G34="","",記録!G34)</f>
        <v>36</v>
      </c>
      <c r="F14" s="25">
        <f>IF(記録!H34="","",記録!H34)</f>
        <v>35</v>
      </c>
      <c r="G14" s="25">
        <f>IF(記録!I34="","",記録!I34)</f>
        <v>34</v>
      </c>
      <c r="H14" s="28">
        <f>IF(記録!J34="","",記録!J34)</f>
        <v>33</v>
      </c>
      <c r="I14" s="216" t="s">
        <v>18</v>
      </c>
    </row>
    <row r="15" spans="1:9" x14ac:dyDescent="0.55000000000000004">
      <c r="A15" s="223" t="str">
        <f>IF(記録!K35="","",記録!K35)</f>
        <v>男</v>
      </c>
      <c r="B15" s="29" t="str">
        <f>IF(記録!L35="","",記録!L35)</f>
        <v>男</v>
      </c>
      <c r="C15" s="29" t="str">
        <f>IF(記録!M35="","",記録!M35)</f>
        <v>男</v>
      </c>
      <c r="D15" s="30" t="str">
        <f>IF(記録!N35="","",記録!N35)</f>
        <v>男</v>
      </c>
      <c r="E15" s="31" t="str">
        <f>IF(記録!G35="","",記録!G35)</f>
        <v>女</v>
      </c>
      <c r="F15" s="29" t="str">
        <f>IF(記録!H35="","",記録!H35)</f>
        <v>女</v>
      </c>
      <c r="G15" s="29" t="str">
        <f>IF(記録!I35="","",記録!I35)</f>
        <v>女</v>
      </c>
      <c r="H15" s="32" t="str">
        <f>IF(記録!J35="","",記録!J35)</f>
        <v>女</v>
      </c>
      <c r="I15" s="216" t="s">
        <v>35</v>
      </c>
    </row>
    <row r="16" spans="1:9" ht="245" customHeight="1" thickBot="1" x14ac:dyDescent="0.6">
      <c r="A16" s="224" t="str">
        <f>IF(記録!K36="","",記録!K36)</f>
        <v>新美 友治</v>
      </c>
      <c r="B16" s="2" t="str">
        <f>IF(記録!L36="","",記録!L36)</f>
        <v>窪田 達也</v>
      </c>
      <c r="C16" s="2" t="str">
        <f>IF(記録!M36="","",記録!M36)</f>
        <v>米田 康介</v>
      </c>
      <c r="D16" s="3" t="str">
        <f>IF(記録!N36="","",記録!N36)</f>
        <v>志手 俊二</v>
      </c>
      <c r="E16" s="4" t="str">
        <f>IF(記録!G36="","",記録!G36)</f>
        <v>赤塚 正子</v>
      </c>
      <c r="F16" s="2" t="str">
        <f>IF(記録!H36="","",記録!H36)</f>
        <v>谷口 洋子</v>
      </c>
      <c r="G16" s="2" t="str">
        <f>IF(記録!I36="","",記録!I36)</f>
        <v>浅井 明美</v>
      </c>
      <c r="H16" s="5" t="str">
        <f>IF(記録!J36="","",記録!J36)</f>
        <v>三田村 静子</v>
      </c>
      <c r="I16" s="230" t="s">
        <v>124</v>
      </c>
    </row>
  </sheetData>
  <mergeCells count="4">
    <mergeCell ref="E1:H1"/>
    <mergeCell ref="E2:H2"/>
    <mergeCell ref="A1:D1"/>
    <mergeCell ref="A2:D2"/>
  </mergeCells>
  <phoneticPr fontId="1"/>
  <pageMargins left="0.23622047244094491" right="0.23622047244094491" top="1.0533333333333332" bottom="0.74803149606299213" header="0.31496062992125984" footer="0.31496062992125984"/>
  <pageSetup paperSize="9" scale="74" orientation="portrait" r:id="rId1"/>
  <headerFooter>
    <oddHeader>&amp;C&amp;"メイリオ,ボールド"&amp;28 2021 東尾張エリア弓道大会　チーム記録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A90BB-2B2C-4968-B733-53D6FA084CCE}">
  <sheetPr>
    <pageSetUpPr fitToPage="1"/>
  </sheetPr>
  <dimension ref="A1:I16"/>
  <sheetViews>
    <sheetView view="pageLayout" zoomScaleNormal="100" workbookViewId="0">
      <selection sqref="A1:D1"/>
    </sheetView>
  </sheetViews>
  <sheetFormatPr defaultColWidth="3.58203125" defaultRowHeight="38" x14ac:dyDescent="0.55000000000000004"/>
  <cols>
    <col min="1" max="8" width="12.33203125" style="1" customWidth="1"/>
    <col min="9" max="9" width="23.58203125" style="1" customWidth="1"/>
    <col min="10" max="10" width="3.58203125" style="1"/>
    <col min="11" max="11" width="3.9140625" style="1" bestFit="1" customWidth="1"/>
    <col min="12" max="13" width="3.58203125" style="1"/>
    <col min="14" max="14" width="3.9140625" style="1" bestFit="1" customWidth="1"/>
    <col min="15" max="16384" width="3.58203125" style="1"/>
  </cols>
  <sheetData>
    <row r="1" spans="1:9" x14ac:dyDescent="0.55000000000000004">
      <c r="A1" s="210" t="str">
        <f>IF(記録!S2="","",記録!S2)</f>
        <v>瀬戸A</v>
      </c>
      <c r="B1" s="205"/>
      <c r="C1" s="205"/>
      <c r="D1" s="205"/>
      <c r="E1" s="204" t="str">
        <f>IF(記録!O2="","",記録!O2)</f>
        <v>瀬戸B</v>
      </c>
      <c r="F1" s="205"/>
      <c r="G1" s="205"/>
      <c r="H1" s="206"/>
      <c r="I1" s="211" t="s">
        <v>2</v>
      </c>
    </row>
    <row r="2" spans="1:9" x14ac:dyDescent="0.55000000000000004">
      <c r="A2" s="212">
        <f>IF(記録!S3="","",記録!S3)</f>
        <v>0</v>
      </c>
      <c r="B2" s="208"/>
      <c r="C2" s="208"/>
      <c r="D2" s="208"/>
      <c r="E2" s="207">
        <f>IF(記録!O3="","",記録!O3)</f>
        <v>0</v>
      </c>
      <c r="F2" s="208"/>
      <c r="G2" s="208"/>
      <c r="H2" s="209"/>
      <c r="I2" s="213" t="s">
        <v>3</v>
      </c>
    </row>
    <row r="3" spans="1:9" ht="38.5" thickBot="1" x14ac:dyDescent="0.6">
      <c r="A3" s="214">
        <f>IF(記録!S5="","",記録!S5)</f>
        <v>0</v>
      </c>
      <c r="B3" s="61">
        <f>IF(記録!T5="","",記録!T5)</f>
        <v>0</v>
      </c>
      <c r="C3" s="61">
        <f>IF(記録!U5="","",記録!U5)</f>
        <v>0</v>
      </c>
      <c r="D3" s="62">
        <f>IF(記録!V5="","",記録!V5)</f>
        <v>0</v>
      </c>
      <c r="E3" s="55">
        <f>IF(記録!O5="","",記録!O5)</f>
        <v>0</v>
      </c>
      <c r="F3" s="61">
        <f>IF(記録!P5="","",記録!P5)</f>
        <v>0</v>
      </c>
      <c r="G3" s="61">
        <f>IF(記録!Q5="","",記録!Q5)</f>
        <v>0</v>
      </c>
      <c r="H3" s="63">
        <f>IF(記録!R5="","",記録!R5)</f>
        <v>0</v>
      </c>
      <c r="I3" s="215" t="s">
        <v>4</v>
      </c>
    </row>
    <row r="4" spans="1:9" ht="38.5" thickTop="1" x14ac:dyDescent="0.55000000000000004">
      <c r="A4" s="34">
        <f>IF(記録!S6="","",記録!S6)</f>
        <v>0</v>
      </c>
      <c r="B4" s="35">
        <f>IF(記録!T6="","",記録!T6)</f>
        <v>0</v>
      </c>
      <c r="C4" s="35">
        <f>IF(記録!U6="","",記録!U6)</f>
        <v>0</v>
      </c>
      <c r="D4" s="36">
        <f>IF(記録!V6="","",記録!V6)</f>
        <v>0</v>
      </c>
      <c r="E4" s="11">
        <f>IF(記録!O6="","",記録!O6)</f>
        <v>0</v>
      </c>
      <c r="F4" s="35">
        <f>IF(記録!P6="","",記録!P6)</f>
        <v>0</v>
      </c>
      <c r="G4" s="35">
        <f>IF(記録!Q6="","",記録!Q6)</f>
        <v>0</v>
      </c>
      <c r="H4" s="37">
        <f>IF(記録!R6="","",記録!R6)</f>
        <v>0</v>
      </c>
      <c r="I4" s="216" t="s">
        <v>19</v>
      </c>
    </row>
    <row r="5" spans="1:9" ht="51" customHeight="1" x14ac:dyDescent="0.55000000000000004">
      <c r="A5" s="217" t="str">
        <f>IF(記録!S7="","",記録!S7)</f>
        <v/>
      </c>
      <c r="B5" s="38" t="str">
        <f>IF(記録!T7="","",記録!T7)</f>
        <v/>
      </c>
      <c r="C5" s="38" t="str">
        <f>IF(記録!U7="","",記録!U7)</f>
        <v/>
      </c>
      <c r="D5" s="39" t="str">
        <f>IF(記録!V7="","",記録!V7)</f>
        <v/>
      </c>
      <c r="E5" s="15" t="str">
        <f>IF(記録!O7="","",記録!O7)</f>
        <v/>
      </c>
      <c r="F5" s="38" t="str">
        <f>IF(記録!P7="","",記録!P7)</f>
        <v/>
      </c>
      <c r="G5" s="38" t="str">
        <f>IF(記録!Q7="","",記録!Q7)</f>
        <v/>
      </c>
      <c r="H5" s="40" t="str">
        <f>IF(記録!R7="","",記録!R7)</f>
        <v/>
      </c>
      <c r="I5" s="218" t="s">
        <v>22</v>
      </c>
    </row>
    <row r="6" spans="1:9" ht="51" customHeight="1" x14ac:dyDescent="0.55000000000000004">
      <c r="A6" s="219" t="str">
        <f>IF(記録!S8="","",記録!S8)</f>
        <v/>
      </c>
      <c r="B6" s="41" t="str">
        <f>IF(記録!T8="","",記録!T8)</f>
        <v/>
      </c>
      <c r="C6" s="41" t="str">
        <f>IF(記録!U8="","",記録!U8)</f>
        <v/>
      </c>
      <c r="D6" s="42" t="str">
        <f>IF(記録!V8="","",記録!V8)</f>
        <v/>
      </c>
      <c r="E6" s="19" t="str">
        <f>IF(記録!O8="","",記録!O8)</f>
        <v/>
      </c>
      <c r="F6" s="41" t="str">
        <f>IF(記録!P8="","",記録!P8)</f>
        <v/>
      </c>
      <c r="G6" s="41" t="str">
        <f>IF(記録!Q8="","",記録!Q8)</f>
        <v/>
      </c>
      <c r="H6" s="43" t="str">
        <f>IF(記録!R8="","",記録!R8)</f>
        <v/>
      </c>
      <c r="I6" s="220" t="s">
        <v>23</v>
      </c>
    </row>
    <row r="7" spans="1:9" ht="51" customHeight="1" x14ac:dyDescent="0.55000000000000004">
      <c r="A7" s="219" t="str">
        <f>IF(記録!S9="","",記録!S9)</f>
        <v/>
      </c>
      <c r="B7" s="41" t="str">
        <f>IF(記録!T9="","",記録!T9)</f>
        <v/>
      </c>
      <c r="C7" s="41" t="str">
        <f>IF(記録!U9="","",記録!U9)</f>
        <v/>
      </c>
      <c r="D7" s="42" t="str">
        <f>IF(記録!V9="","",記録!V9)</f>
        <v/>
      </c>
      <c r="E7" s="19" t="str">
        <f>IF(記録!O9="","",記録!O9)</f>
        <v/>
      </c>
      <c r="F7" s="41" t="str">
        <f>IF(記録!P9="","",記録!P9)</f>
        <v/>
      </c>
      <c r="G7" s="41" t="str">
        <f>IF(記録!Q9="","",記録!Q9)</f>
        <v/>
      </c>
      <c r="H7" s="43" t="str">
        <f>IF(記録!R9="","",記録!R9)</f>
        <v/>
      </c>
      <c r="I7" s="220" t="s">
        <v>25</v>
      </c>
    </row>
    <row r="8" spans="1:9" ht="51" customHeight="1" thickBot="1" x14ac:dyDescent="0.6">
      <c r="A8" s="221" t="str">
        <f>IF(記録!S10="","",記録!S10)</f>
        <v/>
      </c>
      <c r="B8" s="44" t="str">
        <f>IF(記録!T10="","",記録!T10)</f>
        <v/>
      </c>
      <c r="C8" s="44" t="str">
        <f>IF(記録!U10="","",記録!U10)</f>
        <v/>
      </c>
      <c r="D8" s="45" t="str">
        <f>IF(記録!V10="","",記録!V10)</f>
        <v/>
      </c>
      <c r="E8" s="23" t="str">
        <f>IF(記録!O10="","",記録!O10)</f>
        <v/>
      </c>
      <c r="F8" s="44" t="str">
        <f>IF(記録!P10="","",記録!P10)</f>
        <v/>
      </c>
      <c r="G8" s="44" t="str">
        <f>IF(記録!Q10="","",記録!Q10)</f>
        <v/>
      </c>
      <c r="H8" s="46" t="str">
        <f>IF(記録!R10="","",記録!R10)</f>
        <v/>
      </c>
      <c r="I8" s="222" t="s">
        <v>27</v>
      </c>
    </row>
    <row r="9" spans="1:9" x14ac:dyDescent="0.55000000000000004">
      <c r="A9" s="33">
        <f>IF(記録!S11="","",記録!S11)</f>
        <v>0</v>
      </c>
      <c r="B9" s="47">
        <f>IF(記録!T11="","",記録!T11)</f>
        <v>0</v>
      </c>
      <c r="C9" s="47">
        <f>IF(記録!U11="","",記録!U11)</f>
        <v>0</v>
      </c>
      <c r="D9" s="48">
        <f>IF(記録!V11="","",記録!V11)</f>
        <v>0</v>
      </c>
      <c r="E9" s="27">
        <f>IF(記録!O11="","",記録!O11)</f>
        <v>0</v>
      </c>
      <c r="F9" s="47">
        <f>IF(記録!P11="","",記録!P11)</f>
        <v>0</v>
      </c>
      <c r="G9" s="47">
        <f>IF(記録!Q11="","",記録!Q11)</f>
        <v>0</v>
      </c>
      <c r="H9" s="49">
        <f>IF(記録!R11="","",記録!R11)</f>
        <v>0</v>
      </c>
      <c r="I9" s="216" t="s">
        <v>20</v>
      </c>
    </row>
    <row r="10" spans="1:9" ht="51" customHeight="1" x14ac:dyDescent="0.55000000000000004">
      <c r="A10" s="217" t="str">
        <f>IF(記録!S12="","",記録!S12)</f>
        <v/>
      </c>
      <c r="B10" s="38" t="str">
        <f>IF(記録!T12="","",記録!T12)</f>
        <v/>
      </c>
      <c r="C10" s="38" t="str">
        <f>IF(記録!U12="","",記録!U12)</f>
        <v/>
      </c>
      <c r="D10" s="39" t="str">
        <f>IF(記録!V12="","",記録!V12)</f>
        <v/>
      </c>
      <c r="E10" s="15" t="str">
        <f>IF(記録!O12="","",記録!O12)</f>
        <v/>
      </c>
      <c r="F10" s="38" t="str">
        <f>IF(記録!P12="","",記録!P12)</f>
        <v/>
      </c>
      <c r="G10" s="38" t="str">
        <f>IF(記録!Q12="","",記録!Q12)</f>
        <v/>
      </c>
      <c r="H10" s="40" t="str">
        <f>IF(記録!R12="","",記録!R12)</f>
        <v/>
      </c>
      <c r="I10" s="218" t="s">
        <v>22</v>
      </c>
    </row>
    <row r="11" spans="1:9" ht="51" customHeight="1" x14ac:dyDescent="0.55000000000000004">
      <c r="A11" s="219" t="str">
        <f>IF(記録!S13="","",記録!S13)</f>
        <v/>
      </c>
      <c r="B11" s="41" t="str">
        <f>IF(記録!T13="","",記録!T13)</f>
        <v/>
      </c>
      <c r="C11" s="41" t="str">
        <f>IF(記録!U13="","",記録!U13)</f>
        <v/>
      </c>
      <c r="D11" s="42" t="str">
        <f>IF(記録!V13="","",記録!V13)</f>
        <v/>
      </c>
      <c r="E11" s="19" t="str">
        <f>IF(記録!O13="","",記録!O13)</f>
        <v/>
      </c>
      <c r="F11" s="41" t="str">
        <f>IF(記録!P13="","",記録!P13)</f>
        <v/>
      </c>
      <c r="G11" s="41" t="str">
        <f>IF(記録!Q13="","",記録!Q13)</f>
        <v/>
      </c>
      <c r="H11" s="43" t="str">
        <f>IF(記録!R13="","",記録!R13)</f>
        <v/>
      </c>
      <c r="I11" s="220" t="s">
        <v>23</v>
      </c>
    </row>
    <row r="12" spans="1:9" ht="51" customHeight="1" x14ac:dyDescent="0.55000000000000004">
      <c r="A12" s="219" t="str">
        <f>IF(記録!S14="","",記録!S14)</f>
        <v/>
      </c>
      <c r="B12" s="41" t="str">
        <f>IF(記録!T14="","",記録!T14)</f>
        <v/>
      </c>
      <c r="C12" s="41" t="str">
        <f>IF(記録!U14="","",記録!U14)</f>
        <v/>
      </c>
      <c r="D12" s="42" t="str">
        <f>IF(記録!V14="","",記録!V14)</f>
        <v/>
      </c>
      <c r="E12" s="19" t="str">
        <f>IF(記録!O14="","",記録!O14)</f>
        <v/>
      </c>
      <c r="F12" s="41" t="str">
        <f>IF(記録!P14="","",記録!P14)</f>
        <v/>
      </c>
      <c r="G12" s="41" t="str">
        <f>IF(記録!Q14="","",記録!Q14)</f>
        <v/>
      </c>
      <c r="H12" s="43" t="str">
        <f>IF(記録!R14="","",記録!R14)</f>
        <v/>
      </c>
      <c r="I12" s="220" t="s">
        <v>25</v>
      </c>
    </row>
    <row r="13" spans="1:9" ht="51" customHeight="1" thickBot="1" x14ac:dyDescent="0.6">
      <c r="A13" s="221" t="str">
        <f>IF(記録!S15="","",記録!S15)</f>
        <v/>
      </c>
      <c r="B13" s="44" t="str">
        <f>IF(記録!T15="","",記録!T15)</f>
        <v/>
      </c>
      <c r="C13" s="44" t="str">
        <f>IF(記録!U15="","",記録!U15)</f>
        <v/>
      </c>
      <c r="D13" s="45" t="str">
        <f>IF(記録!V15="","",記録!V15)</f>
        <v/>
      </c>
      <c r="E13" s="23" t="str">
        <f>IF(記録!O15="","",記録!O15)</f>
        <v/>
      </c>
      <c r="F13" s="44" t="str">
        <f>IF(記録!P15="","",記録!P15)</f>
        <v/>
      </c>
      <c r="G13" s="44" t="str">
        <f>IF(記録!Q15="","",記録!Q15)</f>
        <v/>
      </c>
      <c r="H13" s="46" t="str">
        <f>IF(記録!R15="","",記録!R15)</f>
        <v/>
      </c>
      <c r="I13" s="222" t="s">
        <v>27</v>
      </c>
    </row>
    <row r="14" spans="1:9" x14ac:dyDescent="0.55000000000000004">
      <c r="A14" s="33">
        <f>IF(記録!S16="","",記録!S16)</f>
        <v>4</v>
      </c>
      <c r="B14" s="47">
        <f>IF(記録!T16="","",記録!T16)</f>
        <v>3</v>
      </c>
      <c r="C14" s="47">
        <f>IF(記録!U16="","",記録!U16)</f>
        <v>2</v>
      </c>
      <c r="D14" s="48">
        <f>IF(記録!V16="","",記録!V16)</f>
        <v>1</v>
      </c>
      <c r="E14" s="27">
        <f>IF(記録!O16="","",記録!O16)</f>
        <v>8</v>
      </c>
      <c r="F14" s="47">
        <f>IF(記録!P16="","",記録!P16)</f>
        <v>7</v>
      </c>
      <c r="G14" s="47">
        <f>IF(記録!Q16="","",記録!Q16)</f>
        <v>6</v>
      </c>
      <c r="H14" s="49">
        <f>IF(記録!R16="","",記録!R16)</f>
        <v>5</v>
      </c>
      <c r="I14" s="216" t="s">
        <v>18</v>
      </c>
    </row>
    <row r="15" spans="1:9" x14ac:dyDescent="0.55000000000000004">
      <c r="A15" s="223" t="str">
        <f>IF(記録!S17="","",記録!S17)</f>
        <v>女</v>
      </c>
      <c r="B15" s="50" t="str">
        <f>IF(記録!T17="","",記録!T17)</f>
        <v>女</v>
      </c>
      <c r="C15" s="50" t="str">
        <f>IF(記録!U17="","",記録!U17)</f>
        <v>男</v>
      </c>
      <c r="D15" s="51" t="str">
        <f>IF(記録!V17="","",記録!V17)</f>
        <v>男</v>
      </c>
      <c r="E15" s="31" t="str">
        <f>IF(記録!O17="","",記録!O17)</f>
        <v>男</v>
      </c>
      <c r="F15" s="50" t="str">
        <f>IF(記録!P17="","",記録!P17)</f>
        <v>女</v>
      </c>
      <c r="G15" s="50" t="str">
        <f>IF(記録!Q17="","",記録!Q17)</f>
        <v>女</v>
      </c>
      <c r="H15" s="52" t="str">
        <f>IF(記録!R17="","",記録!R17)</f>
        <v>男</v>
      </c>
      <c r="I15" s="216" t="s">
        <v>35</v>
      </c>
    </row>
    <row r="16" spans="1:9" ht="245" customHeight="1" thickBot="1" x14ac:dyDescent="0.6">
      <c r="A16" s="224" t="str">
        <f>IF(記録!S18="","",記録!S18)</f>
        <v>森竹 結衣</v>
      </c>
      <c r="B16" s="6" t="str">
        <f>IF(記録!T18="","",記録!T18)</f>
        <v>谷口 弥生</v>
      </c>
      <c r="C16" s="6" t="str">
        <f>IF(記録!U18="","",記録!U18)</f>
        <v>加藤 崇文</v>
      </c>
      <c r="D16" s="7" t="str">
        <f>IF(記録!V18="","",記録!V18)</f>
        <v>野村 清美</v>
      </c>
      <c r="E16" s="4" t="str">
        <f>IF(記録!O18="","",記録!O18)</f>
        <v>加藤 広史</v>
      </c>
      <c r="F16" s="6" t="str">
        <f>IF(記録!P18="","",記録!P18)</f>
        <v>瀬山 博子</v>
      </c>
      <c r="G16" s="6" t="str">
        <f>IF(記録!Q18="","",記録!Q18)</f>
        <v>小林 都</v>
      </c>
      <c r="H16" s="8" t="str">
        <f>IF(記録!R18="","",記録!R18)</f>
        <v>伊藤 寿邦</v>
      </c>
      <c r="I16" s="230" t="s">
        <v>124</v>
      </c>
    </row>
  </sheetData>
  <mergeCells count="4">
    <mergeCell ref="E1:H1"/>
    <mergeCell ref="A1:D1"/>
    <mergeCell ref="E2:H2"/>
    <mergeCell ref="A2:D2"/>
  </mergeCells>
  <phoneticPr fontId="1"/>
  <pageMargins left="0.23622047244094491" right="0.23622047244094491" top="1.0533333333333332" bottom="0.74803149606299213" header="0.31496062992125984" footer="0.31496062992125984"/>
  <pageSetup paperSize="9" scale="74" orientation="portrait" r:id="rId1"/>
  <headerFooter>
    <oddHeader>&amp;C&amp;"メイリオ,ボールド"&amp;28 2021 東尾張エリア弓道大会　チーム記録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CC626-A5A7-4A9E-9747-17F93B1B419B}">
  <sheetPr>
    <pageSetUpPr fitToPage="1"/>
  </sheetPr>
  <dimension ref="A1:I16"/>
  <sheetViews>
    <sheetView view="pageLayout" zoomScaleNormal="100" workbookViewId="0">
      <selection sqref="A1:D1"/>
    </sheetView>
  </sheetViews>
  <sheetFormatPr defaultColWidth="3.58203125" defaultRowHeight="38" x14ac:dyDescent="0.55000000000000004"/>
  <cols>
    <col min="1" max="8" width="12.33203125" style="1" customWidth="1"/>
    <col min="9" max="9" width="23.58203125" style="1" customWidth="1"/>
    <col min="10" max="10" width="3.58203125" style="1"/>
    <col min="11" max="11" width="3.9140625" style="1" bestFit="1" customWidth="1"/>
    <col min="12" max="13" width="3.58203125" style="1"/>
    <col min="14" max="14" width="3.9140625" style="1" bestFit="1" customWidth="1"/>
    <col min="15" max="16384" width="3.58203125" style="1"/>
  </cols>
  <sheetData>
    <row r="1" spans="1:9" x14ac:dyDescent="0.55000000000000004">
      <c r="A1" s="210" t="str">
        <f>IF(記録!O38="","",記録!O38)</f>
        <v>長久手A</v>
      </c>
      <c r="B1" s="205"/>
      <c r="C1" s="205"/>
      <c r="D1" s="205"/>
      <c r="E1" s="204" t="str">
        <f>IF(記録!K38="","",記録!K38)</f>
        <v>長久手B</v>
      </c>
      <c r="F1" s="205"/>
      <c r="G1" s="205"/>
      <c r="H1" s="206"/>
      <c r="I1" s="211" t="s">
        <v>2</v>
      </c>
    </row>
    <row r="2" spans="1:9" x14ac:dyDescent="0.55000000000000004">
      <c r="A2" s="212">
        <f>IF(記録!O39="","",記録!O39)</f>
        <v>0</v>
      </c>
      <c r="B2" s="208"/>
      <c r="C2" s="208"/>
      <c r="D2" s="208"/>
      <c r="E2" s="207">
        <f>IF(記録!K39="","",記録!K39)</f>
        <v>0</v>
      </c>
      <c r="F2" s="208"/>
      <c r="G2" s="208"/>
      <c r="H2" s="209"/>
      <c r="I2" s="213" t="s">
        <v>3</v>
      </c>
    </row>
    <row r="3" spans="1:9" ht="38.5" thickBot="1" x14ac:dyDescent="0.6">
      <c r="A3" s="214">
        <f>IF(記録!O41="","",記録!O41)</f>
        <v>0</v>
      </c>
      <c r="B3" s="53">
        <f>IF(記録!P41="","",記録!P41)</f>
        <v>0</v>
      </c>
      <c r="C3" s="53">
        <f>IF(記録!Q41="","",記録!Q41)</f>
        <v>0</v>
      </c>
      <c r="D3" s="54">
        <f>IF(記録!R41="","",記録!R41)</f>
        <v>0</v>
      </c>
      <c r="E3" s="55">
        <f>IF(記録!K41="","",記録!K41)</f>
        <v>0</v>
      </c>
      <c r="F3" s="53">
        <f>IF(記録!L41="","",記録!L41)</f>
        <v>0</v>
      </c>
      <c r="G3" s="53">
        <f>IF(記録!M41="","",記録!M41)</f>
        <v>0</v>
      </c>
      <c r="H3" s="56">
        <f>IF(記録!N41="","",記録!N41)</f>
        <v>0</v>
      </c>
      <c r="I3" s="215" t="s">
        <v>4</v>
      </c>
    </row>
    <row r="4" spans="1:9" ht="38.5" thickTop="1" x14ac:dyDescent="0.55000000000000004">
      <c r="A4" s="34">
        <f>IF(記録!O42="","",記録!O42)</f>
        <v>0</v>
      </c>
      <c r="B4" s="9">
        <f>IF(記録!P42="","",記録!P42)</f>
        <v>0</v>
      </c>
      <c r="C4" s="9">
        <f>IF(記録!Q42="","",記録!Q42)</f>
        <v>0</v>
      </c>
      <c r="D4" s="10">
        <f>IF(記録!R42="","",記録!R42)</f>
        <v>0</v>
      </c>
      <c r="E4" s="11">
        <f>IF(記録!K42="","",記録!K42)</f>
        <v>0</v>
      </c>
      <c r="F4" s="9">
        <f>IF(記録!L42="","",記録!L42)</f>
        <v>0</v>
      </c>
      <c r="G4" s="9">
        <f>IF(記録!M42="","",記録!M42)</f>
        <v>0</v>
      </c>
      <c r="H4" s="12">
        <f>IF(記録!N42="","",記録!N42)</f>
        <v>0</v>
      </c>
      <c r="I4" s="216" t="s">
        <v>19</v>
      </c>
    </row>
    <row r="5" spans="1:9" ht="51" customHeight="1" x14ac:dyDescent="0.55000000000000004">
      <c r="A5" s="217" t="str">
        <f>IF(記録!O43="","",記録!O43)</f>
        <v/>
      </c>
      <c r="B5" s="13" t="str">
        <f>IF(記録!P43="","",記録!P43)</f>
        <v/>
      </c>
      <c r="C5" s="13" t="str">
        <f>IF(記録!Q43="","",記録!Q43)</f>
        <v/>
      </c>
      <c r="D5" s="14" t="str">
        <f>IF(記録!R43="","",記録!R43)</f>
        <v/>
      </c>
      <c r="E5" s="15" t="str">
        <f>IF(記録!K43="","",記録!K43)</f>
        <v/>
      </c>
      <c r="F5" s="13" t="str">
        <f>IF(記録!L43="","",記録!L43)</f>
        <v/>
      </c>
      <c r="G5" s="13" t="str">
        <f>IF(記録!M43="","",記録!M43)</f>
        <v/>
      </c>
      <c r="H5" s="16" t="str">
        <f>IF(記録!N43="","",記録!N43)</f>
        <v/>
      </c>
      <c r="I5" s="218" t="s">
        <v>22</v>
      </c>
    </row>
    <row r="6" spans="1:9" ht="51" customHeight="1" x14ac:dyDescent="0.55000000000000004">
      <c r="A6" s="219" t="str">
        <f>IF(記録!O44="","",記録!O44)</f>
        <v/>
      </c>
      <c r="B6" s="17" t="str">
        <f>IF(記録!P44="","",記録!P44)</f>
        <v/>
      </c>
      <c r="C6" s="17" t="str">
        <f>IF(記録!Q44="","",記録!Q44)</f>
        <v/>
      </c>
      <c r="D6" s="18" t="str">
        <f>IF(記録!R44="","",記録!R44)</f>
        <v/>
      </c>
      <c r="E6" s="19" t="str">
        <f>IF(記録!K44="","",記録!K44)</f>
        <v/>
      </c>
      <c r="F6" s="17" t="str">
        <f>IF(記録!L44="","",記録!L44)</f>
        <v/>
      </c>
      <c r="G6" s="17" t="str">
        <f>IF(記録!M44="","",記録!M44)</f>
        <v/>
      </c>
      <c r="H6" s="20" t="str">
        <f>IF(記録!N44="","",記録!N44)</f>
        <v/>
      </c>
      <c r="I6" s="220" t="s">
        <v>23</v>
      </c>
    </row>
    <row r="7" spans="1:9" ht="51" customHeight="1" x14ac:dyDescent="0.55000000000000004">
      <c r="A7" s="219" t="str">
        <f>IF(記録!O45="","",記録!O45)</f>
        <v/>
      </c>
      <c r="B7" s="17" t="str">
        <f>IF(記録!P45="","",記録!P45)</f>
        <v/>
      </c>
      <c r="C7" s="17" t="str">
        <f>IF(記録!Q45="","",記録!Q45)</f>
        <v/>
      </c>
      <c r="D7" s="18" t="str">
        <f>IF(記録!R45="","",記録!R45)</f>
        <v/>
      </c>
      <c r="E7" s="19" t="str">
        <f>IF(記録!K45="","",記録!K45)</f>
        <v/>
      </c>
      <c r="F7" s="17" t="str">
        <f>IF(記録!L45="","",記録!L45)</f>
        <v/>
      </c>
      <c r="G7" s="17" t="str">
        <f>IF(記録!M45="","",記録!M45)</f>
        <v/>
      </c>
      <c r="H7" s="20" t="str">
        <f>IF(記録!N45="","",記録!N45)</f>
        <v/>
      </c>
      <c r="I7" s="220" t="s">
        <v>25</v>
      </c>
    </row>
    <row r="8" spans="1:9" ht="51" customHeight="1" thickBot="1" x14ac:dyDescent="0.6">
      <c r="A8" s="221" t="str">
        <f>IF(記録!O46="","",記録!O46)</f>
        <v/>
      </c>
      <c r="B8" s="21" t="str">
        <f>IF(記録!P46="","",記録!P46)</f>
        <v/>
      </c>
      <c r="C8" s="21" t="str">
        <f>IF(記録!Q46="","",記録!Q46)</f>
        <v/>
      </c>
      <c r="D8" s="22" t="str">
        <f>IF(記録!R46="","",記録!R46)</f>
        <v/>
      </c>
      <c r="E8" s="23" t="str">
        <f>IF(記録!K46="","",記録!K46)</f>
        <v/>
      </c>
      <c r="F8" s="21" t="str">
        <f>IF(記録!L46="","",記録!L46)</f>
        <v/>
      </c>
      <c r="G8" s="21" t="str">
        <f>IF(記録!M46="","",記録!M46)</f>
        <v/>
      </c>
      <c r="H8" s="24" t="str">
        <f>IF(記録!N46="","",記録!N46)</f>
        <v/>
      </c>
      <c r="I8" s="222" t="s">
        <v>27</v>
      </c>
    </row>
    <row r="9" spans="1:9" x14ac:dyDescent="0.55000000000000004">
      <c r="A9" s="33">
        <f>IF(記録!O47="","",記録!O47)</f>
        <v>0</v>
      </c>
      <c r="B9" s="25">
        <f>IF(記録!P47="","",記録!P47)</f>
        <v>0</v>
      </c>
      <c r="C9" s="25">
        <f>IF(記録!Q47="","",記録!Q47)</f>
        <v>0</v>
      </c>
      <c r="D9" s="26">
        <f>IF(記録!R47="","",記録!R47)</f>
        <v>0</v>
      </c>
      <c r="E9" s="27">
        <f>IF(記録!K47="","",記録!K47)</f>
        <v>0</v>
      </c>
      <c r="F9" s="25">
        <f>IF(記録!L47="","",記録!L47)</f>
        <v>0</v>
      </c>
      <c r="G9" s="25">
        <f>IF(記録!M47="","",記録!M47)</f>
        <v>0</v>
      </c>
      <c r="H9" s="28">
        <f>IF(記録!N47="","",記録!N47)</f>
        <v>0</v>
      </c>
      <c r="I9" s="216" t="s">
        <v>20</v>
      </c>
    </row>
    <row r="10" spans="1:9" ht="51" customHeight="1" x14ac:dyDescent="0.55000000000000004">
      <c r="A10" s="217" t="str">
        <f>IF(記録!O48="","",記録!O48)</f>
        <v/>
      </c>
      <c r="B10" s="13" t="str">
        <f>IF(記録!P48="","",記録!P48)</f>
        <v/>
      </c>
      <c r="C10" s="13" t="str">
        <f>IF(記録!Q48="","",記録!Q48)</f>
        <v/>
      </c>
      <c r="D10" s="14" t="str">
        <f>IF(記録!R48="","",記録!R48)</f>
        <v/>
      </c>
      <c r="E10" s="15" t="str">
        <f>IF(記録!K48="","",記録!K48)</f>
        <v/>
      </c>
      <c r="F10" s="13" t="str">
        <f>IF(記録!L48="","",記録!L48)</f>
        <v/>
      </c>
      <c r="G10" s="13" t="str">
        <f>IF(記録!M48="","",記録!M48)</f>
        <v/>
      </c>
      <c r="H10" s="16" t="str">
        <f>IF(記録!N48="","",記録!N48)</f>
        <v/>
      </c>
      <c r="I10" s="218" t="s">
        <v>22</v>
      </c>
    </row>
    <row r="11" spans="1:9" ht="51" customHeight="1" x14ac:dyDescent="0.55000000000000004">
      <c r="A11" s="219" t="str">
        <f>IF(記録!O49="","",記録!O49)</f>
        <v/>
      </c>
      <c r="B11" s="17" t="str">
        <f>IF(記録!P49="","",記録!P49)</f>
        <v/>
      </c>
      <c r="C11" s="17" t="str">
        <f>IF(記録!Q49="","",記録!Q49)</f>
        <v/>
      </c>
      <c r="D11" s="18" t="str">
        <f>IF(記録!R49="","",記録!R49)</f>
        <v/>
      </c>
      <c r="E11" s="19" t="str">
        <f>IF(記録!K49="","",記録!K49)</f>
        <v/>
      </c>
      <c r="F11" s="17" t="str">
        <f>IF(記録!L49="","",記録!L49)</f>
        <v/>
      </c>
      <c r="G11" s="17" t="str">
        <f>IF(記録!M49="","",記録!M49)</f>
        <v/>
      </c>
      <c r="H11" s="20" t="str">
        <f>IF(記録!N49="","",記録!N49)</f>
        <v/>
      </c>
      <c r="I11" s="220" t="s">
        <v>23</v>
      </c>
    </row>
    <row r="12" spans="1:9" ht="51" customHeight="1" x14ac:dyDescent="0.55000000000000004">
      <c r="A12" s="219" t="str">
        <f>IF(記録!O50="","",記録!O50)</f>
        <v/>
      </c>
      <c r="B12" s="17" t="str">
        <f>IF(記録!P50="","",記録!P50)</f>
        <v/>
      </c>
      <c r="C12" s="17" t="str">
        <f>IF(記録!Q50="","",記録!Q50)</f>
        <v/>
      </c>
      <c r="D12" s="18" t="str">
        <f>IF(記録!R50="","",記録!R50)</f>
        <v/>
      </c>
      <c r="E12" s="19" t="str">
        <f>IF(記録!K50="","",記録!K50)</f>
        <v/>
      </c>
      <c r="F12" s="17" t="str">
        <f>IF(記録!L50="","",記録!L50)</f>
        <v/>
      </c>
      <c r="G12" s="17" t="str">
        <f>IF(記録!M50="","",記録!M50)</f>
        <v/>
      </c>
      <c r="H12" s="20" t="str">
        <f>IF(記録!N50="","",記録!N50)</f>
        <v/>
      </c>
      <c r="I12" s="220" t="s">
        <v>25</v>
      </c>
    </row>
    <row r="13" spans="1:9" ht="51" customHeight="1" thickBot="1" x14ac:dyDescent="0.6">
      <c r="A13" s="221" t="str">
        <f>IF(記録!O51="","",記録!O51)</f>
        <v/>
      </c>
      <c r="B13" s="21" t="str">
        <f>IF(記録!P51="","",記録!P51)</f>
        <v/>
      </c>
      <c r="C13" s="21" t="str">
        <f>IF(記録!Q51="","",記録!Q51)</f>
        <v/>
      </c>
      <c r="D13" s="22" t="str">
        <f>IF(記録!R51="","",記録!R51)</f>
        <v/>
      </c>
      <c r="E13" s="23" t="str">
        <f>IF(記録!K51="","",記録!K51)</f>
        <v/>
      </c>
      <c r="F13" s="21" t="str">
        <f>IF(記録!L51="","",記録!L51)</f>
        <v/>
      </c>
      <c r="G13" s="21" t="str">
        <f>IF(記録!M51="","",記録!M51)</f>
        <v/>
      </c>
      <c r="H13" s="24" t="str">
        <f>IF(記録!N51="","",記録!N51)</f>
        <v/>
      </c>
      <c r="I13" s="222" t="s">
        <v>27</v>
      </c>
    </row>
    <row r="14" spans="1:9" x14ac:dyDescent="0.55000000000000004">
      <c r="A14" s="33">
        <f>IF(記録!O52="","",記録!O52)</f>
        <v>44</v>
      </c>
      <c r="B14" s="25">
        <f>IF(記録!P52="","",記録!P52)</f>
        <v>43</v>
      </c>
      <c r="C14" s="25">
        <f>IF(記録!Q52="","",記録!Q52)</f>
        <v>42</v>
      </c>
      <c r="D14" s="26">
        <f>IF(記録!R52="","",記録!R52)</f>
        <v>41</v>
      </c>
      <c r="E14" s="27">
        <f>IF(記録!K52="","",記録!K52)</f>
        <v>48</v>
      </c>
      <c r="F14" s="25">
        <f>IF(記録!L52="","",記録!L52)</f>
        <v>47</v>
      </c>
      <c r="G14" s="25">
        <f>IF(記録!M52="","",記録!M52)</f>
        <v>46</v>
      </c>
      <c r="H14" s="28">
        <f>IF(記録!N52="","",記録!N52)</f>
        <v>45</v>
      </c>
      <c r="I14" s="216" t="s">
        <v>18</v>
      </c>
    </row>
    <row r="15" spans="1:9" x14ac:dyDescent="0.55000000000000004">
      <c r="A15" s="223" t="str">
        <f>IF(記録!O53="","",記録!O53)</f>
        <v>男</v>
      </c>
      <c r="B15" s="29" t="str">
        <f>IF(記録!P53="","",記録!P53)</f>
        <v>男</v>
      </c>
      <c r="C15" s="29" t="str">
        <f>IF(記録!Q53="","",記録!Q53)</f>
        <v>男</v>
      </c>
      <c r="D15" s="30" t="str">
        <f>IF(記録!R53="","",記録!R53)</f>
        <v>男</v>
      </c>
      <c r="E15" s="31" t="str">
        <f>IF(記録!K53="","",記録!K53)</f>
        <v>女</v>
      </c>
      <c r="F15" s="29" t="str">
        <f>IF(記録!L53="","",記録!L53)</f>
        <v>女</v>
      </c>
      <c r="G15" s="29" t="str">
        <f>IF(記録!M53="","",記録!M53)</f>
        <v>女</v>
      </c>
      <c r="H15" s="32" t="str">
        <f>IF(記録!N53="","",記録!N53)</f>
        <v>女</v>
      </c>
      <c r="I15" s="216" t="s">
        <v>35</v>
      </c>
    </row>
    <row r="16" spans="1:9" ht="245" customHeight="1" thickBot="1" x14ac:dyDescent="0.6">
      <c r="A16" s="224" t="str">
        <f>IF(記録!O54="","",記録!O54)</f>
        <v>松井 忠志</v>
      </c>
      <c r="B16" s="2" t="str">
        <f>IF(記録!P54="","",記録!P54)</f>
        <v>芝田 典久</v>
      </c>
      <c r="C16" s="2" t="str">
        <f>IF(記録!Q54="","",記録!Q54)</f>
        <v>葛西 裕文</v>
      </c>
      <c r="D16" s="3" t="str">
        <f>IF(記録!R54="","",記録!R54)</f>
        <v>柳原 啓宏</v>
      </c>
      <c r="E16" s="4" t="str">
        <f>IF(記録!K54="","",記録!K54)</f>
        <v>野々垣 奈緒子</v>
      </c>
      <c r="F16" s="2" t="str">
        <f>IF(記録!L54="","",記録!L54)</f>
        <v>水野 三穂</v>
      </c>
      <c r="G16" s="2" t="str">
        <f>IF(記録!M54="","",記録!M54)</f>
        <v>澤田 圭子</v>
      </c>
      <c r="H16" s="5" t="str">
        <f>IF(記録!N54="","",記録!N54)</f>
        <v>山越 一江</v>
      </c>
      <c r="I16" s="230" t="s">
        <v>124</v>
      </c>
    </row>
  </sheetData>
  <mergeCells count="4">
    <mergeCell ref="E1:H1"/>
    <mergeCell ref="A1:D1"/>
    <mergeCell ref="E2:H2"/>
    <mergeCell ref="A2:D2"/>
  </mergeCells>
  <phoneticPr fontId="1"/>
  <pageMargins left="0.23622047244094491" right="0.23622047244094491" top="1.0533333333333332" bottom="0.74803149606299213" header="0.31496062992125984" footer="0.31496062992125984"/>
  <pageSetup paperSize="9" scale="74" orientation="portrait" r:id="rId1"/>
  <headerFooter>
    <oddHeader>&amp;C&amp;"メイリオ,ボールド"&amp;28 2021 東尾張エリア弓道大会　チーム記録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D1806-7B54-4B73-9085-3EEA7C3FB6D1}">
  <sheetPr>
    <pageSetUpPr fitToPage="1"/>
  </sheetPr>
  <dimension ref="A1:I16"/>
  <sheetViews>
    <sheetView view="pageLayout" zoomScaleNormal="100" workbookViewId="0">
      <selection sqref="A1:D1"/>
    </sheetView>
  </sheetViews>
  <sheetFormatPr defaultColWidth="3.58203125" defaultRowHeight="38" x14ac:dyDescent="0.55000000000000004"/>
  <cols>
    <col min="1" max="8" width="12.33203125" style="1" customWidth="1"/>
    <col min="9" max="9" width="23.58203125" style="1" customWidth="1"/>
    <col min="10" max="10" width="3.58203125" style="1"/>
    <col min="11" max="11" width="3.9140625" style="1" bestFit="1" customWidth="1"/>
    <col min="12" max="13" width="3.58203125" style="1"/>
    <col min="14" max="14" width="3.9140625" style="1" bestFit="1" customWidth="1"/>
    <col min="15" max="16384" width="3.58203125" style="1"/>
  </cols>
  <sheetData>
    <row r="1" spans="1:9" x14ac:dyDescent="0.55000000000000004">
      <c r="A1" s="210" t="str">
        <f>IF(記録!G38="","",記録!G38)</f>
        <v>豊明A</v>
      </c>
      <c r="B1" s="205"/>
      <c r="C1" s="205"/>
      <c r="D1" s="205"/>
      <c r="E1" s="204" t="str">
        <f>IF(記録!C38="","",記録!C38)</f>
        <v>豊明B</v>
      </c>
      <c r="F1" s="205"/>
      <c r="G1" s="205"/>
      <c r="H1" s="206"/>
      <c r="I1" s="211" t="s">
        <v>2</v>
      </c>
    </row>
    <row r="2" spans="1:9" x14ac:dyDescent="0.55000000000000004">
      <c r="A2" s="212">
        <f>IF(記録!G39="","",記録!G39)</f>
        <v>0</v>
      </c>
      <c r="B2" s="208"/>
      <c r="C2" s="208"/>
      <c r="D2" s="208"/>
      <c r="E2" s="207">
        <f>IF(記録!C39="","",記録!C39)</f>
        <v>0</v>
      </c>
      <c r="F2" s="208"/>
      <c r="G2" s="208"/>
      <c r="H2" s="209"/>
      <c r="I2" s="213" t="s">
        <v>3</v>
      </c>
    </row>
    <row r="3" spans="1:9" ht="38.5" thickBot="1" x14ac:dyDescent="0.6">
      <c r="A3" s="214">
        <f>IF(記録!G41="","",記録!G41)</f>
        <v>0</v>
      </c>
      <c r="B3" s="53">
        <f>IF(記録!H41="","",記録!H41)</f>
        <v>0</v>
      </c>
      <c r="C3" s="53">
        <f>IF(記録!I41="","",記録!I41)</f>
        <v>0</v>
      </c>
      <c r="D3" s="54">
        <f>IF(記録!J41="","",記録!J41)</f>
        <v>0</v>
      </c>
      <c r="E3" s="55">
        <f>IF(記録!C41="","",記録!C41)</f>
        <v>0</v>
      </c>
      <c r="F3" s="53">
        <f>IF(記録!D41="","",記録!D41)</f>
        <v>0</v>
      </c>
      <c r="G3" s="53">
        <f>IF(記録!E41="","",記録!E41)</f>
        <v>0</v>
      </c>
      <c r="H3" s="56">
        <f>IF(記録!F41="","",記録!F41)</f>
        <v>0</v>
      </c>
      <c r="I3" s="215" t="s">
        <v>4</v>
      </c>
    </row>
    <row r="4" spans="1:9" ht="38.5" thickTop="1" x14ac:dyDescent="0.55000000000000004">
      <c r="A4" s="34">
        <f>IF(記録!G42="","",記録!G42)</f>
        <v>0</v>
      </c>
      <c r="B4" s="9">
        <f>IF(記録!H42="","",記録!H42)</f>
        <v>0</v>
      </c>
      <c r="C4" s="9">
        <f>IF(記録!I42="","",記録!I42)</f>
        <v>0</v>
      </c>
      <c r="D4" s="10">
        <f>IF(記録!J42="","",記録!J42)</f>
        <v>0</v>
      </c>
      <c r="E4" s="11">
        <f>IF(記録!C42="","",記録!C42)</f>
        <v>0</v>
      </c>
      <c r="F4" s="9">
        <f>IF(記録!D42="","",記録!D42)</f>
        <v>0</v>
      </c>
      <c r="G4" s="9">
        <f>IF(記録!E42="","",記録!E42)</f>
        <v>0</v>
      </c>
      <c r="H4" s="12">
        <f>IF(記録!F42="","",記録!F42)</f>
        <v>0</v>
      </c>
      <c r="I4" s="216" t="s">
        <v>19</v>
      </c>
    </row>
    <row r="5" spans="1:9" ht="51" customHeight="1" x14ac:dyDescent="0.55000000000000004">
      <c r="A5" s="217" t="str">
        <f>IF(記録!G43="","",記録!G43)</f>
        <v/>
      </c>
      <c r="B5" s="13" t="str">
        <f>IF(記録!H43="","",記録!H43)</f>
        <v/>
      </c>
      <c r="C5" s="13" t="str">
        <f>IF(記録!I43="","",記録!I43)</f>
        <v/>
      </c>
      <c r="D5" s="14" t="str">
        <f>IF(記録!J43="","",記録!J43)</f>
        <v/>
      </c>
      <c r="E5" s="15" t="str">
        <f>IF(記録!C43="","",記録!C43)</f>
        <v/>
      </c>
      <c r="F5" s="13" t="str">
        <f>IF(記録!D43="","",記録!D43)</f>
        <v/>
      </c>
      <c r="G5" s="13" t="str">
        <f>IF(記録!E43="","",記録!E43)</f>
        <v/>
      </c>
      <c r="H5" s="16" t="str">
        <f>IF(記録!F43="","",記録!F43)</f>
        <v/>
      </c>
      <c r="I5" s="218" t="s">
        <v>22</v>
      </c>
    </row>
    <row r="6" spans="1:9" ht="51" customHeight="1" x14ac:dyDescent="0.55000000000000004">
      <c r="A6" s="219" t="str">
        <f>IF(記録!G44="","",記録!G44)</f>
        <v/>
      </c>
      <c r="B6" s="17" t="str">
        <f>IF(記録!H44="","",記録!H44)</f>
        <v/>
      </c>
      <c r="C6" s="17" t="str">
        <f>IF(記録!I44="","",記録!I44)</f>
        <v/>
      </c>
      <c r="D6" s="18" t="str">
        <f>IF(記録!J44="","",記録!J44)</f>
        <v/>
      </c>
      <c r="E6" s="19" t="str">
        <f>IF(記録!C44="","",記録!C44)</f>
        <v/>
      </c>
      <c r="F6" s="17" t="str">
        <f>IF(記録!D44="","",記録!D44)</f>
        <v/>
      </c>
      <c r="G6" s="17" t="str">
        <f>IF(記録!E44="","",記録!E44)</f>
        <v/>
      </c>
      <c r="H6" s="20" t="str">
        <f>IF(記録!F44="","",記録!F44)</f>
        <v/>
      </c>
      <c r="I6" s="220" t="s">
        <v>23</v>
      </c>
    </row>
    <row r="7" spans="1:9" ht="51" customHeight="1" x14ac:dyDescent="0.55000000000000004">
      <c r="A7" s="219" t="str">
        <f>IF(記録!G45="","",記録!G45)</f>
        <v/>
      </c>
      <c r="B7" s="17" t="str">
        <f>IF(記録!H45="","",記録!H45)</f>
        <v/>
      </c>
      <c r="C7" s="17" t="str">
        <f>IF(記録!I45="","",記録!I45)</f>
        <v/>
      </c>
      <c r="D7" s="18" t="str">
        <f>IF(記録!J45="","",記録!J45)</f>
        <v/>
      </c>
      <c r="E7" s="19" t="str">
        <f>IF(記録!C45="","",記録!C45)</f>
        <v/>
      </c>
      <c r="F7" s="17" t="str">
        <f>IF(記録!D45="","",記録!D45)</f>
        <v/>
      </c>
      <c r="G7" s="17" t="str">
        <f>IF(記録!E45="","",記録!E45)</f>
        <v/>
      </c>
      <c r="H7" s="20" t="str">
        <f>IF(記録!F45="","",記録!F45)</f>
        <v/>
      </c>
      <c r="I7" s="220" t="s">
        <v>25</v>
      </c>
    </row>
    <row r="8" spans="1:9" ht="51" customHeight="1" thickBot="1" x14ac:dyDescent="0.6">
      <c r="A8" s="221" t="str">
        <f>IF(記録!G46="","",記録!G46)</f>
        <v/>
      </c>
      <c r="B8" s="21" t="str">
        <f>IF(記録!H46="","",記録!H46)</f>
        <v/>
      </c>
      <c r="C8" s="21" t="str">
        <f>IF(記録!I46="","",記録!I46)</f>
        <v/>
      </c>
      <c r="D8" s="22" t="str">
        <f>IF(記録!J46="","",記録!J46)</f>
        <v/>
      </c>
      <c r="E8" s="23" t="str">
        <f>IF(記録!C46="","",記録!C46)</f>
        <v/>
      </c>
      <c r="F8" s="21" t="str">
        <f>IF(記録!D46="","",記録!D46)</f>
        <v/>
      </c>
      <c r="G8" s="21" t="str">
        <f>IF(記録!E46="","",記録!E46)</f>
        <v/>
      </c>
      <c r="H8" s="24" t="str">
        <f>IF(記録!F46="","",記録!F46)</f>
        <v/>
      </c>
      <c r="I8" s="222" t="s">
        <v>27</v>
      </c>
    </row>
    <row r="9" spans="1:9" x14ac:dyDescent="0.55000000000000004">
      <c r="A9" s="33">
        <f>IF(記録!G47="","",記録!G47)</f>
        <v>0</v>
      </c>
      <c r="B9" s="25">
        <f>IF(記録!H47="","",記録!H47)</f>
        <v>0</v>
      </c>
      <c r="C9" s="25">
        <f>IF(記録!I47="","",記録!I47)</f>
        <v>0</v>
      </c>
      <c r="D9" s="26">
        <f>IF(記録!J47="","",記録!J47)</f>
        <v>0</v>
      </c>
      <c r="E9" s="27">
        <f>IF(記録!C47="","",記録!C47)</f>
        <v>0</v>
      </c>
      <c r="F9" s="25">
        <f>IF(記録!D47="","",記録!D47)</f>
        <v>0</v>
      </c>
      <c r="G9" s="25">
        <f>IF(記録!E47="","",記録!E47)</f>
        <v>0</v>
      </c>
      <c r="H9" s="28">
        <f>IF(記録!F47="","",記録!F47)</f>
        <v>0</v>
      </c>
      <c r="I9" s="216" t="s">
        <v>20</v>
      </c>
    </row>
    <row r="10" spans="1:9" ht="51" customHeight="1" x14ac:dyDescent="0.55000000000000004">
      <c r="A10" s="217" t="str">
        <f>IF(記録!G48="","",記録!G48)</f>
        <v/>
      </c>
      <c r="B10" s="13" t="str">
        <f>IF(記録!H48="","",記録!H48)</f>
        <v/>
      </c>
      <c r="C10" s="13" t="str">
        <f>IF(記録!I48="","",記録!I48)</f>
        <v/>
      </c>
      <c r="D10" s="14" t="str">
        <f>IF(記録!J48="","",記録!J48)</f>
        <v/>
      </c>
      <c r="E10" s="15" t="str">
        <f>IF(記録!C48="","",記録!C48)</f>
        <v/>
      </c>
      <c r="F10" s="13" t="str">
        <f>IF(記録!D48="","",記録!D48)</f>
        <v/>
      </c>
      <c r="G10" s="13" t="str">
        <f>IF(記録!E48="","",記録!E48)</f>
        <v/>
      </c>
      <c r="H10" s="16" t="str">
        <f>IF(記録!F48="","",記録!F48)</f>
        <v/>
      </c>
      <c r="I10" s="218" t="s">
        <v>22</v>
      </c>
    </row>
    <row r="11" spans="1:9" ht="51" customHeight="1" x14ac:dyDescent="0.55000000000000004">
      <c r="A11" s="219" t="str">
        <f>IF(記録!G49="","",記録!G49)</f>
        <v/>
      </c>
      <c r="B11" s="17" t="str">
        <f>IF(記録!H49="","",記録!H49)</f>
        <v/>
      </c>
      <c r="C11" s="17" t="str">
        <f>IF(記録!I49="","",記録!I49)</f>
        <v/>
      </c>
      <c r="D11" s="18" t="str">
        <f>IF(記録!J49="","",記録!J49)</f>
        <v/>
      </c>
      <c r="E11" s="19" t="str">
        <f>IF(記録!C49="","",記録!C49)</f>
        <v/>
      </c>
      <c r="F11" s="17" t="str">
        <f>IF(記録!D49="","",記録!D49)</f>
        <v/>
      </c>
      <c r="G11" s="17" t="str">
        <f>IF(記録!E49="","",記録!E49)</f>
        <v/>
      </c>
      <c r="H11" s="20" t="str">
        <f>IF(記録!F49="","",記録!F49)</f>
        <v/>
      </c>
      <c r="I11" s="220" t="s">
        <v>23</v>
      </c>
    </row>
    <row r="12" spans="1:9" ht="51" customHeight="1" x14ac:dyDescent="0.55000000000000004">
      <c r="A12" s="219" t="str">
        <f>IF(記録!G50="","",記録!G50)</f>
        <v/>
      </c>
      <c r="B12" s="17" t="str">
        <f>IF(記録!H50="","",記録!H50)</f>
        <v/>
      </c>
      <c r="C12" s="17" t="str">
        <f>IF(記録!I50="","",記録!I50)</f>
        <v/>
      </c>
      <c r="D12" s="18" t="str">
        <f>IF(記録!J50="","",記録!J50)</f>
        <v/>
      </c>
      <c r="E12" s="19" t="str">
        <f>IF(記録!C50="","",記録!C50)</f>
        <v/>
      </c>
      <c r="F12" s="17" t="str">
        <f>IF(記録!D50="","",記録!D50)</f>
        <v/>
      </c>
      <c r="G12" s="17" t="str">
        <f>IF(記録!E50="","",記録!E50)</f>
        <v/>
      </c>
      <c r="H12" s="20" t="str">
        <f>IF(記録!F50="","",記録!F50)</f>
        <v/>
      </c>
      <c r="I12" s="220" t="s">
        <v>25</v>
      </c>
    </row>
    <row r="13" spans="1:9" ht="51" customHeight="1" thickBot="1" x14ac:dyDescent="0.6">
      <c r="A13" s="221" t="str">
        <f>IF(記録!G51="","",記録!G51)</f>
        <v/>
      </c>
      <c r="B13" s="21" t="str">
        <f>IF(記録!H51="","",記録!H51)</f>
        <v/>
      </c>
      <c r="C13" s="21" t="str">
        <f>IF(記録!I51="","",記録!I51)</f>
        <v/>
      </c>
      <c r="D13" s="22" t="str">
        <f>IF(記録!J51="","",記録!J51)</f>
        <v/>
      </c>
      <c r="E13" s="23" t="str">
        <f>IF(記録!C51="","",記録!C51)</f>
        <v/>
      </c>
      <c r="F13" s="21" t="str">
        <f>IF(記録!D51="","",記録!D51)</f>
        <v/>
      </c>
      <c r="G13" s="21" t="str">
        <f>IF(記録!E51="","",記録!E51)</f>
        <v/>
      </c>
      <c r="H13" s="24" t="str">
        <f>IF(記録!F51="","",記録!F51)</f>
        <v/>
      </c>
      <c r="I13" s="222" t="s">
        <v>27</v>
      </c>
    </row>
    <row r="14" spans="1:9" x14ac:dyDescent="0.55000000000000004">
      <c r="A14" s="33">
        <f>IF(記録!G52="","",記録!G52)</f>
        <v>52</v>
      </c>
      <c r="B14" s="25">
        <f>IF(記録!H52="","",記録!H52)</f>
        <v>51</v>
      </c>
      <c r="C14" s="25">
        <f>IF(記録!I52="","",記録!I52)</f>
        <v>50</v>
      </c>
      <c r="D14" s="26">
        <f>IF(記録!J52="","",記録!J52)</f>
        <v>49</v>
      </c>
      <c r="E14" s="27">
        <f>IF(記録!C52="","",記録!C52)</f>
        <v>56</v>
      </c>
      <c r="F14" s="25">
        <f>IF(記録!D52="","",記録!D52)</f>
        <v>55</v>
      </c>
      <c r="G14" s="25">
        <f>IF(記録!E52="","",記録!E52)</f>
        <v>54</v>
      </c>
      <c r="H14" s="28">
        <f>IF(記録!F52="","",記録!F52)</f>
        <v>53</v>
      </c>
      <c r="I14" s="216" t="s">
        <v>18</v>
      </c>
    </row>
    <row r="15" spans="1:9" x14ac:dyDescent="0.55000000000000004">
      <c r="A15" s="223" t="str">
        <f>IF(記録!G53="","",記録!G53)</f>
        <v>男</v>
      </c>
      <c r="B15" s="29" t="str">
        <f>IF(記録!H53="","",記録!H53)</f>
        <v>男</v>
      </c>
      <c r="C15" s="29" t="str">
        <f>IF(記録!I53="","",記録!I53)</f>
        <v>男</v>
      </c>
      <c r="D15" s="30" t="str">
        <f>IF(記録!J53="","",記録!J53)</f>
        <v>男</v>
      </c>
      <c r="E15" s="31" t="str">
        <f>IF(記録!C53="","",記録!C53)</f>
        <v>女</v>
      </c>
      <c r="F15" s="29" t="str">
        <f>IF(記録!D53="","",記録!D53)</f>
        <v>女</v>
      </c>
      <c r="G15" s="29" t="str">
        <f>IF(記録!E53="","",記録!E53)</f>
        <v>女</v>
      </c>
      <c r="H15" s="32" t="str">
        <f>IF(記録!F53="","",記録!F53)</f>
        <v>女</v>
      </c>
      <c r="I15" s="216" t="s">
        <v>35</v>
      </c>
    </row>
    <row r="16" spans="1:9" ht="245" customHeight="1" thickBot="1" x14ac:dyDescent="0.6">
      <c r="A16" s="224" t="str">
        <f>IF(記録!G54="","",記録!G54)</f>
        <v>園田 敏雄</v>
      </c>
      <c r="B16" s="2" t="str">
        <f>IF(記録!H54="","",記録!H54)</f>
        <v>近藤 治</v>
      </c>
      <c r="C16" s="2" t="str">
        <f>IF(記録!I54="","",記録!I54)</f>
        <v>堀 隆教</v>
      </c>
      <c r="D16" s="3" t="str">
        <f>IF(記録!J54="","",記録!J54)</f>
        <v>榊原 隆一</v>
      </c>
      <c r="E16" s="4" t="str">
        <f>IF(記録!C54="","",記録!C54)</f>
        <v>堀井 恵美子</v>
      </c>
      <c r="F16" s="2" t="str">
        <f>IF(記録!D54="","",記録!D54)</f>
        <v>樋田 良子</v>
      </c>
      <c r="G16" s="2" t="str">
        <f>IF(記録!E54="","",記録!E54)</f>
        <v>青松 未記</v>
      </c>
      <c r="H16" s="5" t="str">
        <f>IF(記録!F54="","",記録!F54)</f>
        <v>安藤 雅子</v>
      </c>
      <c r="I16" s="230" t="s">
        <v>124</v>
      </c>
    </row>
  </sheetData>
  <mergeCells count="4">
    <mergeCell ref="E1:H1"/>
    <mergeCell ref="A1:D1"/>
    <mergeCell ref="E2:H2"/>
    <mergeCell ref="A2:D2"/>
  </mergeCells>
  <phoneticPr fontId="1"/>
  <pageMargins left="0.23622047244094491" right="0.23622047244094491" top="1.0533333333333332" bottom="0.74803149606299213" header="0.31496062992125984" footer="0.31496062992125984"/>
  <pageSetup paperSize="9" scale="74" orientation="portrait" r:id="rId1"/>
  <headerFooter>
    <oddHeader>&amp;C&amp;"メイリオ,ボールド"&amp;28 2021 東尾張エリア弓道大会　チーム記録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CA82C-65A1-4EE4-9CDB-90449E91ED29}">
  <sheetPr>
    <pageSetUpPr fitToPage="1"/>
  </sheetPr>
  <dimension ref="A1:I16"/>
  <sheetViews>
    <sheetView view="pageLayout" topLeftCell="A4" zoomScaleNormal="100" workbookViewId="0">
      <selection sqref="A1:D1"/>
    </sheetView>
  </sheetViews>
  <sheetFormatPr defaultColWidth="3.58203125" defaultRowHeight="38" x14ac:dyDescent="0.55000000000000004"/>
  <cols>
    <col min="1" max="8" width="12.33203125" style="1" customWidth="1"/>
    <col min="9" max="9" width="23.58203125" style="1" customWidth="1"/>
    <col min="10" max="10" width="3.58203125" style="1"/>
    <col min="11" max="11" width="3.9140625" style="1" bestFit="1" customWidth="1"/>
    <col min="12" max="13" width="3.58203125" style="1"/>
    <col min="14" max="14" width="3.9140625" style="1" bestFit="1" customWidth="1"/>
    <col min="15" max="16384" width="3.58203125" style="1"/>
  </cols>
  <sheetData>
    <row r="1" spans="1:9" x14ac:dyDescent="0.55000000000000004">
      <c r="A1" s="210">
        <f>IF(記録!X38="","",記録!X38)</f>
        <v>0</v>
      </c>
      <c r="B1" s="205"/>
      <c r="C1" s="205"/>
      <c r="D1" s="205"/>
      <c r="E1" s="204">
        <f>IF(記録!AB38="","",記録!AB38)</f>
        <v>0</v>
      </c>
      <c r="F1" s="205"/>
      <c r="G1" s="205"/>
      <c r="H1" s="206"/>
      <c r="I1" s="211" t="s">
        <v>2</v>
      </c>
    </row>
    <row r="2" spans="1:9" x14ac:dyDescent="0.55000000000000004">
      <c r="A2" s="212">
        <f>IF(記録!X39="","",記録!X39)</f>
        <v>0</v>
      </c>
      <c r="B2" s="208"/>
      <c r="C2" s="208"/>
      <c r="D2" s="208"/>
      <c r="E2" s="207">
        <f>IF(記録!AB39="","",記録!AB39)</f>
        <v>0</v>
      </c>
      <c r="F2" s="208"/>
      <c r="G2" s="208"/>
      <c r="H2" s="209"/>
      <c r="I2" s="213" t="s">
        <v>3</v>
      </c>
    </row>
    <row r="3" spans="1:9" ht="38.5" thickBot="1" x14ac:dyDescent="0.6">
      <c r="A3" s="225">
        <f>IF(記録!X41="","",記録!X41)</f>
        <v>0</v>
      </c>
      <c r="B3" s="57">
        <f>IF(記録!Y41="","",記録!Y41)</f>
        <v>0</v>
      </c>
      <c r="C3" s="57">
        <f>IF(記録!Z41="","",記録!Z41)</f>
        <v>0</v>
      </c>
      <c r="D3" s="58">
        <f>IF(記録!AA41="","",記録!AA41)</f>
        <v>0</v>
      </c>
      <c r="E3" s="59">
        <f>IF(記録!AB41="","",記録!AB41)</f>
        <v>0</v>
      </c>
      <c r="F3" s="57">
        <f>IF(記録!AC41="","",記録!AC41)</f>
        <v>0</v>
      </c>
      <c r="G3" s="57">
        <f>IF(記録!AD41="","",記録!AD41)</f>
        <v>0</v>
      </c>
      <c r="H3" s="60">
        <f>IF(記録!AE41="","",記録!AE41)</f>
        <v>0</v>
      </c>
      <c r="I3" s="215" t="s">
        <v>4</v>
      </c>
    </row>
    <row r="4" spans="1:9" ht="38.5" thickTop="1" x14ac:dyDescent="0.55000000000000004">
      <c r="A4" s="34">
        <f>IF(記録!X42="","",記録!X42)</f>
        <v>0</v>
      </c>
      <c r="B4" s="9">
        <f>IF(記録!Y42="","",記録!Y42)</f>
        <v>0</v>
      </c>
      <c r="C4" s="9">
        <f>IF(記録!Z42="","",記録!Z42)</f>
        <v>0</v>
      </c>
      <c r="D4" s="10">
        <f>IF(記録!AA42="","",記録!AA42)</f>
        <v>0</v>
      </c>
      <c r="E4" s="11">
        <f>IF(記録!AB42="","",記録!AB42)</f>
        <v>0</v>
      </c>
      <c r="F4" s="9">
        <f>IF(記録!AC42="","",記録!AC42)</f>
        <v>0</v>
      </c>
      <c r="G4" s="9">
        <f>IF(記録!AD42="","",記録!AD42)</f>
        <v>0</v>
      </c>
      <c r="H4" s="12">
        <f>IF(記録!AE42="","",記録!AE42)</f>
        <v>0</v>
      </c>
      <c r="I4" s="216" t="s">
        <v>19</v>
      </c>
    </row>
    <row r="5" spans="1:9" ht="51" customHeight="1" x14ac:dyDescent="0.55000000000000004">
      <c r="A5" s="217" t="str">
        <f>IF(記録!X43="","",記録!X43)</f>
        <v/>
      </c>
      <c r="B5" s="13" t="str">
        <f>IF(記録!Y43="","",記録!Y43)</f>
        <v/>
      </c>
      <c r="C5" s="13" t="str">
        <f>IF(記録!Z43="","",記録!Z43)</f>
        <v/>
      </c>
      <c r="D5" s="14" t="str">
        <f>IF(記録!AA43="","",記録!AA43)</f>
        <v/>
      </c>
      <c r="E5" s="15" t="str">
        <f>IF(記録!AB43="","",記録!AB43)</f>
        <v/>
      </c>
      <c r="F5" s="13" t="str">
        <f>IF(記録!AC43="","",記録!AC43)</f>
        <v/>
      </c>
      <c r="G5" s="13" t="str">
        <f>IF(記録!AD43="","",記録!AD43)</f>
        <v/>
      </c>
      <c r="H5" s="16" t="str">
        <f>IF(記録!AE43="","",記録!AE43)</f>
        <v/>
      </c>
      <c r="I5" s="218" t="s">
        <v>22</v>
      </c>
    </row>
    <row r="6" spans="1:9" ht="51" customHeight="1" x14ac:dyDescent="0.55000000000000004">
      <c r="A6" s="219" t="str">
        <f>IF(記録!X44="","",記録!X44)</f>
        <v/>
      </c>
      <c r="B6" s="17" t="str">
        <f>IF(記録!Y44="","",記録!Y44)</f>
        <v/>
      </c>
      <c r="C6" s="17" t="str">
        <f>IF(記録!Z44="","",記録!Z44)</f>
        <v/>
      </c>
      <c r="D6" s="18" t="str">
        <f>IF(記録!AA44="","",記録!AA44)</f>
        <v/>
      </c>
      <c r="E6" s="19" t="str">
        <f>IF(記録!AB44="","",記録!AB44)</f>
        <v/>
      </c>
      <c r="F6" s="17" t="str">
        <f>IF(記録!AC44="","",記録!AC44)</f>
        <v/>
      </c>
      <c r="G6" s="17" t="str">
        <f>IF(記録!AD44="","",記録!AD44)</f>
        <v/>
      </c>
      <c r="H6" s="20" t="str">
        <f>IF(記録!AE44="","",記録!AE44)</f>
        <v/>
      </c>
      <c r="I6" s="220" t="s">
        <v>23</v>
      </c>
    </row>
    <row r="7" spans="1:9" ht="51" customHeight="1" x14ac:dyDescent="0.55000000000000004">
      <c r="A7" s="219" t="str">
        <f>IF(記録!X45="","",記録!X45)</f>
        <v/>
      </c>
      <c r="B7" s="17" t="str">
        <f>IF(記録!Y45="","",記録!Y45)</f>
        <v/>
      </c>
      <c r="C7" s="17" t="str">
        <f>IF(記録!Z45="","",記録!Z45)</f>
        <v/>
      </c>
      <c r="D7" s="18" t="str">
        <f>IF(記録!AA45="","",記録!AA45)</f>
        <v/>
      </c>
      <c r="E7" s="19" t="str">
        <f>IF(記録!AB45="","",記録!AB45)</f>
        <v/>
      </c>
      <c r="F7" s="17" t="str">
        <f>IF(記録!AC45="","",記録!AC45)</f>
        <v/>
      </c>
      <c r="G7" s="17" t="str">
        <f>IF(記録!AD45="","",記録!AD45)</f>
        <v/>
      </c>
      <c r="H7" s="20" t="str">
        <f>IF(記録!AE45="","",記録!AE45)</f>
        <v/>
      </c>
      <c r="I7" s="220" t="s">
        <v>25</v>
      </c>
    </row>
    <row r="8" spans="1:9" ht="51" customHeight="1" thickBot="1" x14ac:dyDescent="0.6">
      <c r="A8" s="221" t="str">
        <f>IF(記録!X46="","",記録!X46)</f>
        <v/>
      </c>
      <c r="B8" s="21" t="str">
        <f>IF(記録!Y46="","",記録!Y46)</f>
        <v/>
      </c>
      <c r="C8" s="21" t="str">
        <f>IF(記録!Z46="","",記録!Z46)</f>
        <v/>
      </c>
      <c r="D8" s="22" t="str">
        <f>IF(記録!AA46="","",記録!AA46)</f>
        <v/>
      </c>
      <c r="E8" s="23" t="str">
        <f>IF(記録!AB46="","",記録!AB46)</f>
        <v/>
      </c>
      <c r="F8" s="21" t="str">
        <f>IF(記録!AC46="","",記録!AC46)</f>
        <v/>
      </c>
      <c r="G8" s="21" t="str">
        <f>IF(記録!AD46="","",記録!AD46)</f>
        <v/>
      </c>
      <c r="H8" s="24" t="str">
        <f>IF(記録!AE46="","",記録!AE46)</f>
        <v/>
      </c>
      <c r="I8" s="222" t="s">
        <v>27</v>
      </c>
    </row>
    <row r="9" spans="1:9" x14ac:dyDescent="0.55000000000000004">
      <c r="A9" s="33">
        <f>IF(記録!X47="","",記録!X47)</f>
        <v>0</v>
      </c>
      <c r="B9" s="25">
        <f>IF(記録!Y47="","",記録!Y47)</f>
        <v>0</v>
      </c>
      <c r="C9" s="25">
        <f>IF(記録!Z47="","",記録!Z47)</f>
        <v>0</v>
      </c>
      <c r="D9" s="26">
        <f>IF(記録!AA47="","",記録!AA47)</f>
        <v>0</v>
      </c>
      <c r="E9" s="27">
        <f>IF(記録!AB47="","",記録!AB47)</f>
        <v>0</v>
      </c>
      <c r="F9" s="25">
        <f>IF(記録!AC47="","",記録!AC47)</f>
        <v>0</v>
      </c>
      <c r="G9" s="25">
        <f>IF(記録!AD47="","",記録!AD47)</f>
        <v>0</v>
      </c>
      <c r="H9" s="28">
        <f>IF(記録!AE47="","",記録!AE47)</f>
        <v>0</v>
      </c>
      <c r="I9" s="216" t="s">
        <v>20</v>
      </c>
    </row>
    <row r="10" spans="1:9" ht="51" customHeight="1" x14ac:dyDescent="0.55000000000000004">
      <c r="A10" s="217" t="str">
        <f>IF(記録!X48="","",記録!X48)</f>
        <v/>
      </c>
      <c r="B10" s="13" t="str">
        <f>IF(記録!Y48="","",記録!Y48)</f>
        <v/>
      </c>
      <c r="C10" s="13" t="str">
        <f>IF(記録!Z48="","",記録!Z48)</f>
        <v/>
      </c>
      <c r="D10" s="14" t="str">
        <f>IF(記録!AA48="","",記録!AA48)</f>
        <v/>
      </c>
      <c r="E10" s="15" t="str">
        <f>IF(記録!AB48="","",記録!AB48)</f>
        <v/>
      </c>
      <c r="F10" s="13" t="str">
        <f>IF(記録!AC48="","",記録!AC48)</f>
        <v/>
      </c>
      <c r="G10" s="13" t="str">
        <f>IF(記録!AD48="","",記録!AD48)</f>
        <v/>
      </c>
      <c r="H10" s="16" t="str">
        <f>IF(記録!AE48="","",記録!AE48)</f>
        <v/>
      </c>
      <c r="I10" s="218" t="s">
        <v>22</v>
      </c>
    </row>
    <row r="11" spans="1:9" ht="51" customHeight="1" x14ac:dyDescent="0.55000000000000004">
      <c r="A11" s="219" t="str">
        <f>IF(記録!X49="","",記録!X49)</f>
        <v/>
      </c>
      <c r="B11" s="17" t="str">
        <f>IF(記録!Y49="","",記録!Y49)</f>
        <v/>
      </c>
      <c r="C11" s="17" t="str">
        <f>IF(記録!Z49="","",記録!Z49)</f>
        <v/>
      </c>
      <c r="D11" s="18" t="str">
        <f>IF(記録!AA49="","",記録!AA49)</f>
        <v/>
      </c>
      <c r="E11" s="19" t="str">
        <f>IF(記録!AB49="","",記録!AB49)</f>
        <v/>
      </c>
      <c r="F11" s="17" t="str">
        <f>IF(記録!AC49="","",記録!AC49)</f>
        <v/>
      </c>
      <c r="G11" s="17" t="str">
        <f>IF(記録!AD49="","",記録!AD49)</f>
        <v/>
      </c>
      <c r="H11" s="20" t="str">
        <f>IF(記録!AE49="","",記録!AE49)</f>
        <v/>
      </c>
      <c r="I11" s="220" t="s">
        <v>23</v>
      </c>
    </row>
    <row r="12" spans="1:9" ht="51" customHeight="1" x14ac:dyDescent="0.55000000000000004">
      <c r="A12" s="219" t="str">
        <f>IF(記録!X50="","",記録!X50)</f>
        <v/>
      </c>
      <c r="B12" s="17" t="str">
        <f>IF(記録!Y50="","",記録!Y50)</f>
        <v/>
      </c>
      <c r="C12" s="17" t="str">
        <f>IF(記録!Z50="","",記録!Z50)</f>
        <v/>
      </c>
      <c r="D12" s="18" t="str">
        <f>IF(記録!AA50="","",記録!AA50)</f>
        <v/>
      </c>
      <c r="E12" s="19" t="str">
        <f>IF(記録!AB50="","",記録!AB50)</f>
        <v/>
      </c>
      <c r="F12" s="17" t="str">
        <f>IF(記録!AC50="","",記録!AC50)</f>
        <v/>
      </c>
      <c r="G12" s="17" t="str">
        <f>IF(記録!AD50="","",記録!AD50)</f>
        <v/>
      </c>
      <c r="H12" s="20" t="str">
        <f>IF(記録!AE50="","",記録!AE50)</f>
        <v/>
      </c>
      <c r="I12" s="220" t="s">
        <v>25</v>
      </c>
    </row>
    <row r="13" spans="1:9" ht="51" customHeight="1" thickBot="1" x14ac:dyDescent="0.6">
      <c r="A13" s="221" t="str">
        <f>IF(記録!X51="","",記録!X51)</f>
        <v/>
      </c>
      <c r="B13" s="21" t="str">
        <f>IF(記録!Y51="","",記録!Y51)</f>
        <v/>
      </c>
      <c r="C13" s="21" t="str">
        <f>IF(記録!Z51="","",記録!Z51)</f>
        <v/>
      </c>
      <c r="D13" s="22" t="str">
        <f>IF(記録!AA51="","",記録!AA51)</f>
        <v/>
      </c>
      <c r="E13" s="23" t="str">
        <f>IF(記録!AB51="","",記録!AB51)</f>
        <v/>
      </c>
      <c r="F13" s="21" t="str">
        <f>IF(記録!AC51="","",記録!AC51)</f>
        <v/>
      </c>
      <c r="G13" s="21" t="str">
        <f>IF(記録!AD51="","",記録!AD51)</f>
        <v/>
      </c>
      <c r="H13" s="24" t="str">
        <f>IF(記録!AE51="","",記録!AE51)</f>
        <v/>
      </c>
      <c r="I13" s="222" t="s">
        <v>27</v>
      </c>
    </row>
    <row r="14" spans="1:9" x14ac:dyDescent="0.55000000000000004">
      <c r="A14" s="33" t="str">
        <f>IF(記録!X52="","",記録!X52)</f>
        <v/>
      </c>
      <c r="B14" s="25" t="str">
        <f>IF(記録!Y52="","",記録!Y52)</f>
        <v/>
      </c>
      <c r="C14" s="25" t="str">
        <f>IF(記録!Z52="","",記録!Z52)</f>
        <v/>
      </c>
      <c r="D14" s="26" t="str">
        <f>IF(記録!AA52="","",記録!AA52)</f>
        <v/>
      </c>
      <c r="E14" s="27" t="str">
        <f>IF(記録!AB52="","",記録!AB52)</f>
        <v/>
      </c>
      <c r="F14" s="25" t="str">
        <f>IF(記録!AC52="","",記録!AC52)</f>
        <v/>
      </c>
      <c r="G14" s="25" t="str">
        <f>IF(記録!AD52="","",記録!AD52)</f>
        <v/>
      </c>
      <c r="H14" s="28" t="str">
        <f>IF(記録!AE52="","",記録!AE52)</f>
        <v/>
      </c>
      <c r="I14" s="216" t="s">
        <v>18</v>
      </c>
    </row>
    <row r="15" spans="1:9" x14ac:dyDescent="0.55000000000000004">
      <c r="A15" s="223" t="str">
        <f>IF(記録!X53="","",記録!X53)</f>
        <v/>
      </c>
      <c r="B15" s="29" t="str">
        <f>IF(記録!Y53="","",記録!Y53)</f>
        <v/>
      </c>
      <c r="C15" s="29" t="str">
        <f>IF(記録!Z53="","",記録!Z53)</f>
        <v/>
      </c>
      <c r="D15" s="30" t="str">
        <f>IF(記録!AA53="","",記録!AA53)</f>
        <v/>
      </c>
      <c r="E15" s="31" t="str">
        <f>IF(記録!AB53="","",記録!AB53)</f>
        <v/>
      </c>
      <c r="F15" s="29" t="str">
        <f>IF(記録!AC53="","",記録!AC53)</f>
        <v/>
      </c>
      <c r="G15" s="29" t="str">
        <f>IF(記録!AD53="","",記録!AD53)</f>
        <v/>
      </c>
      <c r="H15" s="32" t="str">
        <f>IF(記録!AE53="","",記録!AE53)</f>
        <v/>
      </c>
      <c r="I15" s="216" t="s">
        <v>35</v>
      </c>
    </row>
    <row r="16" spans="1:9" ht="245" customHeight="1" thickBot="1" x14ac:dyDescent="0.6">
      <c r="A16" s="224" t="str">
        <f>IF(記録!X54="","",記録!X54)</f>
        <v/>
      </c>
      <c r="B16" s="2" t="str">
        <f>IF(記録!Y54="","",記録!Y54)</f>
        <v/>
      </c>
      <c r="C16" s="2" t="str">
        <f>IF(記録!Z54="","",記録!Z54)</f>
        <v/>
      </c>
      <c r="D16" s="3" t="str">
        <f>IF(記録!AA54="","",記録!AA54)</f>
        <v/>
      </c>
      <c r="E16" s="4" t="str">
        <f>IF(記録!AB54="","",記録!AB54)</f>
        <v/>
      </c>
      <c r="F16" s="2" t="str">
        <f>IF(記録!AC54="","",記録!AC54)</f>
        <v/>
      </c>
      <c r="G16" s="2" t="str">
        <f>IF(記録!AD54="","",記録!AD54)</f>
        <v/>
      </c>
      <c r="H16" s="5" t="str">
        <f>IF(記録!AE54="","",記録!AE54)</f>
        <v/>
      </c>
      <c r="I16" s="230" t="s">
        <v>124</v>
      </c>
    </row>
  </sheetData>
  <mergeCells count="4">
    <mergeCell ref="A1:D1"/>
    <mergeCell ref="E1:H1"/>
    <mergeCell ref="A2:D2"/>
    <mergeCell ref="E2:H2"/>
  </mergeCells>
  <phoneticPr fontId="1"/>
  <pageMargins left="0.23622047244094491" right="0.23622047244094491" top="1.0533333333333332" bottom="0.74803149606299213" header="0.31496062992125984" footer="0.31496062992125984"/>
  <pageSetup paperSize="9" scale="74" orientation="portrait" r:id="rId1"/>
  <headerFooter>
    <oddHeader>&amp;C&amp;"メイリオ,ボールド"&amp;28 2021 東尾張エリア弓道大会　チーム記録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選手</vt:lpstr>
      <vt:lpstr>記録</vt:lpstr>
      <vt:lpstr>成績　団体</vt:lpstr>
      <vt:lpstr>成績　個人</vt:lpstr>
      <vt:lpstr>春日井</vt:lpstr>
      <vt:lpstr>西春日井</vt:lpstr>
      <vt:lpstr>尾張旭</vt:lpstr>
      <vt:lpstr>日進</vt:lpstr>
      <vt:lpstr>瀬戸</vt:lpstr>
      <vt:lpstr>長久手</vt:lpstr>
      <vt:lpstr>豊明</vt:lpstr>
      <vt:lpstr>愛知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今井厚文</cp:lastModifiedBy>
  <cp:lastPrinted>2021-05-05T01:40:51Z</cp:lastPrinted>
  <dcterms:created xsi:type="dcterms:W3CDTF">2015-06-05T18:17:20Z</dcterms:created>
  <dcterms:modified xsi:type="dcterms:W3CDTF">2021-05-05T01:45:23Z</dcterms:modified>
</cp:coreProperties>
</file>