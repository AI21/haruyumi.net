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mc:AlternateContent xmlns:mc="http://schemas.openxmlformats.org/markup-compatibility/2006">
    <mc:Choice Requires="x15">
      <x15ac:absPath xmlns:x15ac="http://schemas.microsoft.com/office/spreadsheetml/2010/11/ac" url="C:\work\弓道\春日井弓道会\2022年度\202205_エリア大会\"/>
    </mc:Choice>
  </mc:AlternateContent>
  <xr:revisionPtr revIDLastSave="0" documentId="13_ncr:1_{AB288E5C-CC73-468A-AB61-B8BDF11D3262}" xr6:coauthVersionLast="47" xr6:coauthVersionMax="47" xr10:uidLastSave="{00000000-0000-0000-0000-000000000000}"/>
  <bookViews>
    <workbookView xWindow="5060" yWindow="0" windowWidth="23880" windowHeight="18190" activeTab="2" xr2:uid="{00000000-000D-0000-FFFF-FFFF00000000}"/>
  </bookViews>
  <sheets>
    <sheet name="選手" sheetId="1" r:id="rId1"/>
    <sheet name="記録" sheetId="2" r:id="rId2"/>
    <sheet name="成績　団体" sheetId="3" r:id="rId3"/>
    <sheet name="成績　個人" sheetId="12" r:id="rId4"/>
    <sheet name="春日井" sheetId="8" r:id="rId5"/>
    <sheet name="西春日井" sheetId="5" r:id="rId6"/>
    <sheet name="尾張旭" sheetId="6" r:id="rId7"/>
    <sheet name="日進" sheetId="7" r:id="rId8"/>
    <sheet name="瀬戸" sheetId="4" r:id="rId9"/>
    <sheet name="長久手" sheetId="9" r:id="rId10"/>
    <sheet name="豊明" sheetId="10" r:id="rId11"/>
    <sheet name="愛知" sheetId="11" r:id="rId12"/>
    <sheet name="記録 (2)" sheetId="14" state="hidden" r:id="rId13"/>
    <sheet name="立順表" sheetId="13" state="hidden" r:id="rId14"/>
    <sheet name="選手 (2)" sheetId="15" state="hidden" r:id="rId15"/>
  </sheets>
  <definedNames>
    <definedName name="_xlnm.Print_Area" localSheetId="1">記録!$A$1:$Z$54</definedName>
    <definedName name="_xlnm.Print_Area" localSheetId="12">'記録 (2)'!$A$1:$AA$54</definedName>
    <definedName name="_xlnm.Print_Area" localSheetId="14">'選手 (2)'!$A$1:$O$63</definedName>
    <definedName name="_xlnm.Print_Area" localSheetId="13">立順表!$A$1:$AA$54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4" i="1" l="1"/>
  <c r="C5" i="1" s="1"/>
  <c r="C6" i="1" s="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3" i="1"/>
  <c r="B18" i="14" l="1"/>
  <c r="E72" i="14"/>
  <c r="D72" i="14"/>
  <c r="C72" i="14"/>
  <c r="B72" i="14"/>
  <c r="E71" i="14"/>
  <c r="D71" i="14"/>
  <c r="C71" i="14"/>
  <c r="B71" i="14"/>
  <c r="E70" i="14"/>
  <c r="D70" i="14"/>
  <c r="C70" i="14"/>
  <c r="B70" i="14"/>
  <c r="E65" i="14"/>
  <c r="D65" i="14"/>
  <c r="C65" i="14"/>
  <c r="B65" i="14"/>
  <c r="E60" i="14"/>
  <c r="D60" i="14"/>
  <c r="C60" i="14"/>
  <c r="B60" i="14"/>
  <c r="B59" i="14" s="1"/>
  <c r="B58" i="14" s="1"/>
  <c r="E59" i="14"/>
  <c r="E58" i="14" s="1"/>
  <c r="B56" i="14"/>
  <c r="Y54" i="14"/>
  <c r="X54" i="14"/>
  <c r="W54" i="14"/>
  <c r="V54" i="14"/>
  <c r="U54" i="14"/>
  <c r="T54" i="14"/>
  <c r="S54" i="14"/>
  <c r="R54" i="14"/>
  <c r="Q54" i="14"/>
  <c r="P54" i="14"/>
  <c r="O54" i="14"/>
  <c r="N54" i="14"/>
  <c r="M54" i="14"/>
  <c r="L54" i="14"/>
  <c r="K54" i="14"/>
  <c r="J54" i="14"/>
  <c r="I54" i="14"/>
  <c r="H54" i="14"/>
  <c r="G54" i="14"/>
  <c r="F54" i="14"/>
  <c r="Y53" i="14"/>
  <c r="X53" i="14"/>
  <c r="W53" i="14"/>
  <c r="V53" i="14"/>
  <c r="U53" i="14"/>
  <c r="T53" i="14"/>
  <c r="S53" i="14"/>
  <c r="R53" i="14"/>
  <c r="Q53" i="14"/>
  <c r="P53" i="14"/>
  <c r="O53" i="14"/>
  <c r="N53" i="14"/>
  <c r="M53" i="14"/>
  <c r="L53" i="14"/>
  <c r="K53" i="14"/>
  <c r="J53" i="14"/>
  <c r="I53" i="14"/>
  <c r="H53" i="14"/>
  <c r="G53" i="14"/>
  <c r="F53" i="14"/>
  <c r="Y47" i="14"/>
  <c r="X47" i="14"/>
  <c r="W47" i="14"/>
  <c r="V47" i="14"/>
  <c r="U47" i="14"/>
  <c r="T47" i="14"/>
  <c r="S47" i="14"/>
  <c r="R47" i="14"/>
  <c r="Q47" i="14"/>
  <c r="P47" i="14"/>
  <c r="O47" i="14"/>
  <c r="N47" i="14"/>
  <c r="M47" i="14"/>
  <c r="L47" i="14"/>
  <c r="K47" i="14"/>
  <c r="J47" i="14"/>
  <c r="I47" i="14"/>
  <c r="H47" i="14"/>
  <c r="G47" i="14"/>
  <c r="F47" i="14"/>
  <c r="Y42" i="14"/>
  <c r="X42" i="14"/>
  <c r="X41" i="14" s="1"/>
  <c r="X40" i="14" s="1"/>
  <c r="W42" i="14"/>
  <c r="V42" i="14"/>
  <c r="U42" i="14"/>
  <c r="T42" i="14"/>
  <c r="S42" i="14"/>
  <c r="R42" i="14"/>
  <c r="Q42" i="14"/>
  <c r="P42" i="14"/>
  <c r="P41" i="14" s="1"/>
  <c r="P40" i="14" s="1"/>
  <c r="O42" i="14"/>
  <c r="N42" i="14"/>
  <c r="M42" i="14"/>
  <c r="L42" i="14"/>
  <c r="K42" i="14"/>
  <c r="J42" i="14"/>
  <c r="I42" i="14"/>
  <c r="H42" i="14"/>
  <c r="G42" i="14"/>
  <c r="F42" i="14"/>
  <c r="V38" i="14"/>
  <c r="R38" i="14"/>
  <c r="N38" i="14"/>
  <c r="J38" i="14"/>
  <c r="F38" i="14"/>
  <c r="Y36" i="14"/>
  <c r="X36" i="14"/>
  <c r="W36" i="14"/>
  <c r="V36" i="14"/>
  <c r="U36" i="14"/>
  <c r="T36" i="14"/>
  <c r="S36" i="14"/>
  <c r="R36" i="14"/>
  <c r="Q36" i="14"/>
  <c r="P36" i="14"/>
  <c r="O36" i="14"/>
  <c r="N36" i="14"/>
  <c r="M36" i="14"/>
  <c r="L36" i="14"/>
  <c r="K36" i="14"/>
  <c r="J36" i="14"/>
  <c r="Y35" i="14"/>
  <c r="X35" i="14"/>
  <c r="W35" i="14"/>
  <c r="V35" i="14"/>
  <c r="U35" i="14"/>
  <c r="T35" i="14"/>
  <c r="S35" i="14"/>
  <c r="R35" i="14"/>
  <c r="Q35" i="14"/>
  <c r="P35" i="14"/>
  <c r="O35" i="14"/>
  <c r="N35" i="14"/>
  <c r="M35" i="14"/>
  <c r="L35" i="14"/>
  <c r="K35" i="14"/>
  <c r="J35" i="14"/>
  <c r="Y34" i="14"/>
  <c r="X34" i="14"/>
  <c r="W34" i="14"/>
  <c r="V34" i="14"/>
  <c r="U34" i="14"/>
  <c r="T34" i="14"/>
  <c r="S34" i="14"/>
  <c r="R34" i="14"/>
  <c r="Q34" i="14"/>
  <c r="P34" i="14"/>
  <c r="O34" i="14"/>
  <c r="N34" i="14"/>
  <c r="M34" i="14"/>
  <c r="L34" i="14"/>
  <c r="K34" i="14"/>
  <c r="J34" i="14"/>
  <c r="Y29" i="14"/>
  <c r="X29" i="14"/>
  <c r="W29" i="14"/>
  <c r="V29" i="14"/>
  <c r="U29" i="14"/>
  <c r="T29" i="14"/>
  <c r="S29" i="14"/>
  <c r="R29" i="14"/>
  <c r="Q29" i="14"/>
  <c r="P29" i="14"/>
  <c r="O29" i="14"/>
  <c r="N29" i="14"/>
  <c r="M29" i="14"/>
  <c r="L29" i="14"/>
  <c r="K29" i="14"/>
  <c r="J29" i="14"/>
  <c r="J23" i="14" s="1"/>
  <c r="Y24" i="14"/>
  <c r="Y23" i="14" s="1"/>
  <c r="Y22" i="14" s="1"/>
  <c r="X24" i="14"/>
  <c r="X23" i="14" s="1"/>
  <c r="X22" i="14" s="1"/>
  <c r="W24" i="14"/>
  <c r="W23" i="14" s="1"/>
  <c r="W22" i="14" s="1"/>
  <c r="V24" i="14"/>
  <c r="V23" i="14" s="1"/>
  <c r="U24" i="14"/>
  <c r="U23" i="14" s="1"/>
  <c r="U22" i="14" s="1"/>
  <c r="T24" i="14"/>
  <c r="T23" i="14" s="1"/>
  <c r="T22" i="14" s="1"/>
  <c r="S24" i="14"/>
  <c r="S23" i="14" s="1"/>
  <c r="S22" i="14" s="1"/>
  <c r="R24" i="14"/>
  <c r="R23" i="14" s="1"/>
  <c r="Q24" i="14"/>
  <c r="Q23" i="14" s="1"/>
  <c r="Q22" i="14" s="1"/>
  <c r="P24" i="14"/>
  <c r="O24" i="14"/>
  <c r="N24" i="14"/>
  <c r="M24" i="14"/>
  <c r="M23" i="14" s="1"/>
  <c r="M22" i="14" s="1"/>
  <c r="L24" i="14"/>
  <c r="K24" i="14"/>
  <c r="K23" i="14" s="1"/>
  <c r="K22" i="14" s="1"/>
  <c r="V20" i="14"/>
  <c r="R20" i="14"/>
  <c r="N20" i="14"/>
  <c r="J20" i="14"/>
  <c r="Y18" i="14"/>
  <c r="X18" i="14"/>
  <c r="W18" i="14"/>
  <c r="V18" i="14"/>
  <c r="U18" i="14"/>
  <c r="T18" i="14"/>
  <c r="S18" i="14"/>
  <c r="R18" i="14"/>
  <c r="Q18" i="14"/>
  <c r="P18" i="14"/>
  <c r="O18" i="14"/>
  <c r="N18" i="14"/>
  <c r="M18" i="14"/>
  <c r="L18" i="14"/>
  <c r="K18" i="14"/>
  <c r="J18" i="14"/>
  <c r="I18" i="14"/>
  <c r="H18" i="14"/>
  <c r="G18" i="14"/>
  <c r="F18" i="14"/>
  <c r="E18" i="14"/>
  <c r="D18" i="14"/>
  <c r="C18" i="14"/>
  <c r="Y17" i="14"/>
  <c r="X17" i="14"/>
  <c r="W17" i="14"/>
  <c r="V17" i="14"/>
  <c r="U17" i="14"/>
  <c r="T17" i="14"/>
  <c r="S17" i="14"/>
  <c r="R17" i="14"/>
  <c r="Q17" i="14"/>
  <c r="P17" i="14"/>
  <c r="O17" i="14"/>
  <c r="N17" i="14"/>
  <c r="M17" i="14"/>
  <c r="L17" i="14"/>
  <c r="K17" i="14"/>
  <c r="J17" i="14"/>
  <c r="I17" i="14"/>
  <c r="H17" i="14"/>
  <c r="G17" i="14"/>
  <c r="F17" i="14"/>
  <c r="E17" i="14"/>
  <c r="D17" i="14"/>
  <c r="C17" i="14"/>
  <c r="B17" i="14"/>
  <c r="Y16" i="14"/>
  <c r="X16" i="14"/>
  <c r="W16" i="14"/>
  <c r="V16" i="14"/>
  <c r="U16" i="14"/>
  <c r="T16" i="14"/>
  <c r="S16" i="14"/>
  <c r="R16" i="14"/>
  <c r="Q16" i="14"/>
  <c r="P16" i="14"/>
  <c r="O16" i="14"/>
  <c r="N16" i="14"/>
  <c r="M16" i="14"/>
  <c r="L16" i="14"/>
  <c r="K16" i="14"/>
  <c r="J16" i="14"/>
  <c r="I16" i="14"/>
  <c r="H16" i="14"/>
  <c r="G16" i="14"/>
  <c r="F16" i="14"/>
  <c r="E16" i="14"/>
  <c r="D16" i="14"/>
  <c r="C16" i="14"/>
  <c r="B16" i="14"/>
  <c r="Y11" i="14"/>
  <c r="X11" i="14"/>
  <c r="W11" i="14"/>
  <c r="V11" i="14"/>
  <c r="U11" i="14"/>
  <c r="T11" i="14"/>
  <c r="S11" i="14"/>
  <c r="R11" i="14"/>
  <c r="Q11" i="14"/>
  <c r="P11" i="14"/>
  <c r="O11" i="14"/>
  <c r="N11" i="14"/>
  <c r="M11" i="14"/>
  <c r="L11" i="14"/>
  <c r="K11" i="14"/>
  <c r="J11" i="14"/>
  <c r="I11" i="14"/>
  <c r="H11" i="14"/>
  <c r="G11" i="14"/>
  <c r="F11" i="14"/>
  <c r="E11" i="14"/>
  <c r="D11" i="14"/>
  <c r="C11" i="14"/>
  <c r="B11" i="14"/>
  <c r="Y6" i="14"/>
  <c r="Y5" i="14" s="1"/>
  <c r="Y4" i="14" s="1"/>
  <c r="X6" i="14"/>
  <c r="X5" i="14" s="1"/>
  <c r="W6" i="14"/>
  <c r="W5" i="14" s="1"/>
  <c r="W4" i="14" s="1"/>
  <c r="V6" i="14"/>
  <c r="V5" i="14" s="1"/>
  <c r="V4" i="14" s="1"/>
  <c r="U6" i="14"/>
  <c r="U5" i="14" s="1"/>
  <c r="U4" i="14" s="1"/>
  <c r="T6" i="14"/>
  <c r="T5" i="14" s="1"/>
  <c r="T4" i="14" s="1"/>
  <c r="S6" i="14"/>
  <c r="S5" i="14" s="1"/>
  <c r="S4" i="14" s="1"/>
  <c r="R6" i="14"/>
  <c r="R5" i="14" s="1"/>
  <c r="Q6" i="14"/>
  <c r="Q5" i="14" s="1"/>
  <c r="Q4" i="14" s="1"/>
  <c r="P6" i="14"/>
  <c r="P5" i="14" s="1"/>
  <c r="P4" i="14" s="1"/>
  <c r="O6" i="14"/>
  <c r="O5" i="14" s="1"/>
  <c r="O4" i="14" s="1"/>
  <c r="N6" i="14"/>
  <c r="N5" i="14" s="1"/>
  <c r="N4" i="14" s="1"/>
  <c r="M6" i="14"/>
  <c r="M5" i="14" s="1"/>
  <c r="M4" i="14" s="1"/>
  <c r="L6" i="14"/>
  <c r="K6" i="14"/>
  <c r="J6" i="14"/>
  <c r="J5" i="14" s="1"/>
  <c r="J4" i="14" s="1"/>
  <c r="I6" i="14"/>
  <c r="I5" i="14" s="1"/>
  <c r="I4" i="14" s="1"/>
  <c r="H6" i="14"/>
  <c r="H5" i="14" s="1"/>
  <c r="G6" i="14"/>
  <c r="G5" i="14" s="1"/>
  <c r="G4" i="14" s="1"/>
  <c r="F6" i="14"/>
  <c r="F5" i="14" s="1"/>
  <c r="F4" i="14" s="1"/>
  <c r="E6" i="14"/>
  <c r="E5" i="14" s="1"/>
  <c r="E4" i="14" s="1"/>
  <c r="D6" i="14"/>
  <c r="D5" i="14" s="1"/>
  <c r="D4" i="14" s="1"/>
  <c r="C6" i="14"/>
  <c r="B6" i="14"/>
  <c r="B5" i="14" s="1"/>
  <c r="K5" i="14"/>
  <c r="K4" i="14" s="1"/>
  <c r="V2" i="14"/>
  <c r="R2" i="14"/>
  <c r="N2" i="14"/>
  <c r="J2" i="14"/>
  <c r="F2" i="14"/>
  <c r="B2" i="14"/>
  <c r="E72" i="13"/>
  <c r="D72" i="13"/>
  <c r="C72" i="13"/>
  <c r="B72" i="13"/>
  <c r="E71" i="13"/>
  <c r="D71" i="13"/>
  <c r="C71" i="13"/>
  <c r="B71" i="13"/>
  <c r="E70" i="13"/>
  <c r="D70" i="13"/>
  <c r="C70" i="13"/>
  <c r="B70" i="13"/>
  <c r="E65" i="13"/>
  <c r="D65" i="13"/>
  <c r="C65" i="13"/>
  <c r="B65" i="13"/>
  <c r="E60" i="13"/>
  <c r="D60" i="13"/>
  <c r="C60" i="13"/>
  <c r="B60" i="13"/>
  <c r="B56" i="13"/>
  <c r="Y54" i="13"/>
  <c r="X54" i="13"/>
  <c r="W54" i="13"/>
  <c r="V54" i="13"/>
  <c r="U54" i="13"/>
  <c r="T54" i="13"/>
  <c r="S54" i="13"/>
  <c r="R54" i="13"/>
  <c r="Q54" i="13"/>
  <c r="P54" i="13"/>
  <c r="O54" i="13"/>
  <c r="N54" i="13"/>
  <c r="M54" i="13"/>
  <c r="L54" i="13"/>
  <c r="K54" i="13"/>
  <c r="J54" i="13"/>
  <c r="I54" i="13"/>
  <c r="H54" i="13"/>
  <c r="G54" i="13"/>
  <c r="F54" i="13"/>
  <c r="Y53" i="13"/>
  <c r="X53" i="13"/>
  <c r="W53" i="13"/>
  <c r="V53" i="13"/>
  <c r="U53" i="13"/>
  <c r="T53" i="13"/>
  <c r="S53" i="13"/>
  <c r="R53" i="13"/>
  <c r="Q53" i="13"/>
  <c r="P53" i="13"/>
  <c r="O53" i="13"/>
  <c r="N53" i="13"/>
  <c r="M53" i="13"/>
  <c r="L53" i="13"/>
  <c r="K53" i="13"/>
  <c r="J53" i="13"/>
  <c r="I53" i="13"/>
  <c r="H53" i="13"/>
  <c r="G53" i="13"/>
  <c r="F53" i="13"/>
  <c r="Y52" i="13"/>
  <c r="X52" i="13"/>
  <c r="W52" i="13"/>
  <c r="V52" i="13"/>
  <c r="U52" i="13"/>
  <c r="T52" i="13"/>
  <c r="S52" i="13"/>
  <c r="R52" i="13"/>
  <c r="Q52" i="13"/>
  <c r="P52" i="13"/>
  <c r="O52" i="13"/>
  <c r="N52" i="13"/>
  <c r="M52" i="13"/>
  <c r="L52" i="13"/>
  <c r="K52" i="13"/>
  <c r="J52" i="13"/>
  <c r="I52" i="13"/>
  <c r="H52" i="13"/>
  <c r="G52" i="13"/>
  <c r="F52" i="13"/>
  <c r="Y47" i="13"/>
  <c r="X47" i="13"/>
  <c r="W47" i="13"/>
  <c r="V47" i="13"/>
  <c r="U47" i="13"/>
  <c r="T47" i="13"/>
  <c r="S47" i="13"/>
  <c r="R47" i="13"/>
  <c r="Q47" i="13"/>
  <c r="P47" i="13"/>
  <c r="O47" i="13"/>
  <c r="N47" i="13"/>
  <c r="M47" i="13"/>
  <c r="L47" i="13"/>
  <c r="K47" i="13"/>
  <c r="J47" i="13"/>
  <c r="I47" i="13"/>
  <c r="H47" i="13"/>
  <c r="G47" i="13"/>
  <c r="F47" i="13"/>
  <c r="Y42" i="13"/>
  <c r="X42" i="13"/>
  <c r="W42" i="13"/>
  <c r="V42" i="13"/>
  <c r="U42" i="13"/>
  <c r="T42" i="13"/>
  <c r="S42" i="13"/>
  <c r="R42" i="13"/>
  <c r="Q42" i="13"/>
  <c r="P42" i="13"/>
  <c r="O42" i="13"/>
  <c r="N42" i="13"/>
  <c r="M42" i="13"/>
  <c r="L42" i="13"/>
  <c r="K42" i="13"/>
  <c r="J42" i="13"/>
  <c r="I42" i="13"/>
  <c r="H42" i="13"/>
  <c r="G42" i="13"/>
  <c r="F42" i="13"/>
  <c r="V38" i="13"/>
  <c r="R38" i="13"/>
  <c r="N38" i="13"/>
  <c r="J38" i="13"/>
  <c r="F38" i="13"/>
  <c r="Y36" i="13"/>
  <c r="X36" i="13"/>
  <c r="W36" i="13"/>
  <c r="V36" i="13"/>
  <c r="U36" i="13"/>
  <c r="T36" i="13"/>
  <c r="S36" i="13"/>
  <c r="R36" i="13"/>
  <c r="Q36" i="13"/>
  <c r="P36" i="13"/>
  <c r="O36" i="13"/>
  <c r="N36" i="13"/>
  <c r="M36" i="13"/>
  <c r="L36" i="13"/>
  <c r="K36" i="13"/>
  <c r="J36" i="13"/>
  <c r="Y35" i="13"/>
  <c r="X35" i="13"/>
  <c r="W35" i="13"/>
  <c r="V35" i="13"/>
  <c r="U35" i="13"/>
  <c r="T35" i="13"/>
  <c r="S35" i="13"/>
  <c r="R35" i="13"/>
  <c r="Q35" i="13"/>
  <c r="P35" i="13"/>
  <c r="O35" i="13"/>
  <c r="N35" i="13"/>
  <c r="M35" i="13"/>
  <c r="L35" i="13"/>
  <c r="K35" i="13"/>
  <c r="J35" i="13"/>
  <c r="Y34" i="13"/>
  <c r="X34" i="13"/>
  <c r="W34" i="13"/>
  <c r="V34" i="13"/>
  <c r="U34" i="13"/>
  <c r="T34" i="13"/>
  <c r="S34" i="13"/>
  <c r="R34" i="13"/>
  <c r="Q34" i="13"/>
  <c r="P34" i="13"/>
  <c r="O34" i="13"/>
  <c r="N34" i="13"/>
  <c r="M34" i="13"/>
  <c r="L34" i="13"/>
  <c r="K34" i="13"/>
  <c r="J34" i="13"/>
  <c r="Y29" i="13"/>
  <c r="X29" i="13"/>
  <c r="W29" i="13"/>
  <c r="V29" i="13"/>
  <c r="U29" i="13"/>
  <c r="T29" i="13"/>
  <c r="S29" i="13"/>
  <c r="R29" i="13"/>
  <c r="Q29" i="13"/>
  <c r="P29" i="13"/>
  <c r="O29" i="13"/>
  <c r="N29" i="13"/>
  <c r="M29" i="13"/>
  <c r="L29" i="13"/>
  <c r="K29" i="13"/>
  <c r="J29" i="13"/>
  <c r="J23" i="13" s="1"/>
  <c r="Y24" i="13"/>
  <c r="Y23" i="13" s="1"/>
  <c r="Y22" i="13" s="1"/>
  <c r="X24" i="13"/>
  <c r="W24" i="13"/>
  <c r="V24" i="13"/>
  <c r="U24" i="13"/>
  <c r="U23" i="13" s="1"/>
  <c r="U22" i="13" s="1"/>
  <c r="T24" i="13"/>
  <c r="T23" i="13" s="1"/>
  <c r="T22" i="13" s="1"/>
  <c r="S24" i="13"/>
  <c r="R24" i="13"/>
  <c r="R23" i="13" s="1"/>
  <c r="Q24" i="13"/>
  <c r="Q23" i="13" s="1"/>
  <c r="Q22" i="13" s="1"/>
  <c r="P24" i="13"/>
  <c r="O24" i="13"/>
  <c r="N24" i="13"/>
  <c r="N23" i="13" s="1"/>
  <c r="M24" i="13"/>
  <c r="L24" i="13"/>
  <c r="K24" i="13"/>
  <c r="K23" i="13" s="1"/>
  <c r="K22" i="13" s="1"/>
  <c r="V20" i="13"/>
  <c r="R20" i="13"/>
  <c r="N20" i="13"/>
  <c r="J20" i="13"/>
  <c r="Y18" i="13"/>
  <c r="X18" i="13"/>
  <c r="W18" i="13"/>
  <c r="V18" i="13"/>
  <c r="U18" i="13"/>
  <c r="T18" i="13"/>
  <c r="S18" i="13"/>
  <c r="R18" i="13"/>
  <c r="Q18" i="13"/>
  <c r="P18" i="13"/>
  <c r="O18" i="13"/>
  <c r="N18" i="13"/>
  <c r="M18" i="13"/>
  <c r="L18" i="13"/>
  <c r="K18" i="13"/>
  <c r="J18" i="13"/>
  <c r="I18" i="13"/>
  <c r="H18" i="13"/>
  <c r="G18" i="13"/>
  <c r="F18" i="13"/>
  <c r="E18" i="13"/>
  <c r="D18" i="13"/>
  <c r="C18" i="13"/>
  <c r="B18" i="13"/>
  <c r="Y17" i="13"/>
  <c r="X17" i="13"/>
  <c r="W17" i="13"/>
  <c r="V17" i="13"/>
  <c r="U17" i="13"/>
  <c r="T17" i="13"/>
  <c r="S17" i="13"/>
  <c r="R17" i="13"/>
  <c r="Q17" i="13"/>
  <c r="P17" i="13"/>
  <c r="O17" i="13"/>
  <c r="N17" i="13"/>
  <c r="M17" i="13"/>
  <c r="L17" i="13"/>
  <c r="K17" i="13"/>
  <c r="J17" i="13"/>
  <c r="I17" i="13"/>
  <c r="H17" i="13"/>
  <c r="G17" i="13"/>
  <c r="F17" i="13"/>
  <c r="E17" i="13"/>
  <c r="D17" i="13"/>
  <c r="C17" i="13"/>
  <c r="B17" i="13"/>
  <c r="Y16" i="13"/>
  <c r="X16" i="13"/>
  <c r="W16" i="13"/>
  <c r="V16" i="13"/>
  <c r="U16" i="13"/>
  <c r="T16" i="13"/>
  <c r="S16" i="13"/>
  <c r="R16" i="13"/>
  <c r="Q16" i="13"/>
  <c r="P16" i="13"/>
  <c r="O16" i="13"/>
  <c r="N16" i="13"/>
  <c r="M16" i="13"/>
  <c r="L16" i="13"/>
  <c r="K16" i="13"/>
  <c r="J16" i="13"/>
  <c r="I16" i="13"/>
  <c r="H16" i="13"/>
  <c r="G16" i="13"/>
  <c r="F16" i="13"/>
  <c r="E16" i="13"/>
  <c r="D16" i="13"/>
  <c r="C16" i="13"/>
  <c r="B16" i="13"/>
  <c r="Y11" i="13"/>
  <c r="X11" i="13"/>
  <c r="W11" i="13"/>
  <c r="V11" i="13"/>
  <c r="U11" i="13"/>
  <c r="T11" i="13"/>
  <c r="S11" i="13"/>
  <c r="R11" i="13"/>
  <c r="Q11" i="13"/>
  <c r="P11" i="13"/>
  <c r="O11" i="13"/>
  <c r="N11" i="13"/>
  <c r="M11" i="13"/>
  <c r="L11" i="13"/>
  <c r="K11" i="13"/>
  <c r="J11" i="13"/>
  <c r="I11" i="13"/>
  <c r="H11" i="13"/>
  <c r="G11" i="13"/>
  <c r="F11" i="13"/>
  <c r="E11" i="13"/>
  <c r="D11" i="13"/>
  <c r="C11" i="13"/>
  <c r="B11" i="13"/>
  <c r="Y6" i="13"/>
  <c r="Y5" i="13" s="1"/>
  <c r="Y4" i="13" s="1"/>
  <c r="X6" i="13"/>
  <c r="X5" i="13" s="1"/>
  <c r="X4" i="13" s="1"/>
  <c r="W6" i="13"/>
  <c r="W5" i="13" s="1"/>
  <c r="W4" i="13" s="1"/>
  <c r="V6" i="13"/>
  <c r="V5" i="13" s="1"/>
  <c r="U6" i="13"/>
  <c r="U5" i="13" s="1"/>
  <c r="U4" i="13" s="1"/>
  <c r="T6" i="13"/>
  <c r="T5" i="13" s="1"/>
  <c r="T4" i="13" s="1"/>
  <c r="S6" i="13"/>
  <c r="R6" i="13"/>
  <c r="R5" i="13" s="1"/>
  <c r="Q6" i="13"/>
  <c r="P6" i="13"/>
  <c r="O6" i="13"/>
  <c r="N6" i="13"/>
  <c r="M6" i="13"/>
  <c r="L6" i="13"/>
  <c r="L5" i="13" s="1"/>
  <c r="L4" i="13" s="1"/>
  <c r="K6" i="13"/>
  <c r="K5" i="13" s="1"/>
  <c r="J6" i="13"/>
  <c r="J5" i="13" s="1"/>
  <c r="J4" i="13" s="1"/>
  <c r="I6" i="13"/>
  <c r="H6" i="13"/>
  <c r="G6" i="13"/>
  <c r="G5" i="13" s="1"/>
  <c r="G4" i="13" s="1"/>
  <c r="F6" i="13"/>
  <c r="E6" i="13"/>
  <c r="D6" i="13"/>
  <c r="C6" i="13"/>
  <c r="B6" i="13"/>
  <c r="B5" i="13" s="1"/>
  <c r="B4" i="13" s="1"/>
  <c r="V2" i="13"/>
  <c r="R2" i="13"/>
  <c r="N2" i="13"/>
  <c r="J2" i="13"/>
  <c r="F2" i="13"/>
  <c r="B2" i="13"/>
  <c r="U18" i="3"/>
  <c r="E59" i="13" l="1"/>
  <c r="E58" i="13" s="1"/>
  <c r="V23" i="13"/>
  <c r="V22" i="13" s="1"/>
  <c r="M23" i="13"/>
  <c r="M22" i="13" s="1"/>
  <c r="W23" i="13"/>
  <c r="W22" i="13" s="1"/>
  <c r="P23" i="13"/>
  <c r="P22" i="13" s="1"/>
  <c r="O5" i="13"/>
  <c r="O4" i="13" s="1"/>
  <c r="U41" i="13"/>
  <c r="U40" i="13" s="1"/>
  <c r="E5" i="13"/>
  <c r="E4" i="13" s="1"/>
  <c r="L23" i="13"/>
  <c r="L22" i="13" s="1"/>
  <c r="P5" i="13"/>
  <c r="P4" i="13" s="1"/>
  <c r="D59" i="13"/>
  <c r="D58" i="13" s="1"/>
  <c r="S5" i="13"/>
  <c r="S4" i="13" s="1"/>
  <c r="M41" i="13"/>
  <c r="M40" i="13" s="1"/>
  <c r="C59" i="13"/>
  <c r="Q5" i="13"/>
  <c r="Q4" i="13" s="1"/>
  <c r="D5" i="13"/>
  <c r="D4" i="13" s="1"/>
  <c r="M5" i="13"/>
  <c r="M4" i="13" s="1"/>
  <c r="N5" i="13"/>
  <c r="N4" i="13" s="1"/>
  <c r="S23" i="13"/>
  <c r="S22" i="13" s="1"/>
  <c r="X23" i="13"/>
  <c r="X22" i="13" s="1"/>
  <c r="O23" i="13"/>
  <c r="O22" i="13" s="1"/>
  <c r="O41" i="13"/>
  <c r="O40" i="13" s="1"/>
  <c r="B59" i="13"/>
  <c r="B58" i="13" s="1"/>
  <c r="J41" i="13"/>
  <c r="J40" i="13" s="1"/>
  <c r="R41" i="13"/>
  <c r="R40" i="13" s="1"/>
  <c r="P23" i="14"/>
  <c r="P22" i="14" s="1"/>
  <c r="I41" i="14"/>
  <c r="I40" i="14" s="1"/>
  <c r="Q41" i="14"/>
  <c r="Q40" i="14" s="1"/>
  <c r="Y41" i="14"/>
  <c r="Y40" i="14" s="1"/>
  <c r="M41" i="14"/>
  <c r="M40" i="14" s="1"/>
  <c r="U41" i="14"/>
  <c r="U40" i="14" s="1"/>
  <c r="J41" i="14"/>
  <c r="J40" i="14" s="1"/>
  <c r="D59" i="14"/>
  <c r="D58" i="14" s="1"/>
  <c r="L5" i="14"/>
  <c r="L4" i="14" s="1"/>
  <c r="O23" i="14"/>
  <c r="O22" i="14" s="1"/>
  <c r="L23" i="14"/>
  <c r="L22" i="14" s="1"/>
  <c r="G41" i="14"/>
  <c r="G40" i="14" s="1"/>
  <c r="O41" i="14"/>
  <c r="O40" i="14" s="1"/>
  <c r="W41" i="14"/>
  <c r="W40" i="14" s="1"/>
  <c r="T41" i="14"/>
  <c r="T40" i="14" s="1"/>
  <c r="N23" i="14"/>
  <c r="N22" i="14" s="1"/>
  <c r="C5" i="14"/>
  <c r="C4" i="14" s="1"/>
  <c r="H41" i="14"/>
  <c r="H40" i="14" s="1"/>
  <c r="C59" i="14"/>
  <c r="C58" i="14" s="1"/>
  <c r="F41" i="14"/>
  <c r="F40" i="14" s="1"/>
  <c r="N41" i="14"/>
  <c r="N40" i="14" s="1"/>
  <c r="V41" i="14"/>
  <c r="V40" i="14" s="1"/>
  <c r="R41" i="14"/>
  <c r="R40" i="14" s="1"/>
  <c r="K41" i="13"/>
  <c r="K40" i="13" s="1"/>
  <c r="S41" i="13"/>
  <c r="G41" i="13"/>
  <c r="G40" i="13" s="1"/>
  <c r="W41" i="13"/>
  <c r="W40" i="13" s="1"/>
  <c r="H5" i="13"/>
  <c r="H4" i="13" s="1"/>
  <c r="I5" i="13"/>
  <c r="I4" i="13" s="1"/>
  <c r="L41" i="13"/>
  <c r="L40" i="13" s="1"/>
  <c r="T41" i="13"/>
  <c r="T40" i="13" s="1"/>
  <c r="H41" i="13"/>
  <c r="H40" i="13" s="1"/>
  <c r="P41" i="13"/>
  <c r="P40" i="13" s="1"/>
  <c r="X41" i="13"/>
  <c r="X40" i="13" s="1"/>
  <c r="R4" i="14"/>
  <c r="R3" i="14"/>
  <c r="L41" i="14"/>
  <c r="L40" i="14" s="1"/>
  <c r="K41" i="14"/>
  <c r="K40" i="14" s="1"/>
  <c r="S41" i="14"/>
  <c r="R22" i="14"/>
  <c r="R21" i="14"/>
  <c r="J22" i="14"/>
  <c r="J21" i="14"/>
  <c r="B4" i="14"/>
  <c r="X4" i="14"/>
  <c r="V3" i="14"/>
  <c r="F39" i="14"/>
  <c r="F3" i="14"/>
  <c r="H4" i="14"/>
  <c r="N3" i="14"/>
  <c r="V21" i="14"/>
  <c r="V22" i="14"/>
  <c r="J3" i="14"/>
  <c r="N41" i="13"/>
  <c r="N40" i="13" s="1"/>
  <c r="V41" i="13"/>
  <c r="V40" i="13" s="1"/>
  <c r="F41" i="13"/>
  <c r="F40" i="13" s="1"/>
  <c r="I41" i="13"/>
  <c r="I40" i="13" s="1"/>
  <c r="Q41" i="13"/>
  <c r="Q40" i="13" s="1"/>
  <c r="Y41" i="13"/>
  <c r="Y40" i="13" s="1"/>
  <c r="N21" i="13"/>
  <c r="N22" i="13"/>
  <c r="R4" i="13"/>
  <c r="R3" i="13"/>
  <c r="J3" i="13"/>
  <c r="K4" i="13"/>
  <c r="V3" i="13"/>
  <c r="V4" i="13"/>
  <c r="F5" i="13"/>
  <c r="F4" i="13" s="1"/>
  <c r="C5" i="13"/>
  <c r="N3" i="13"/>
  <c r="C58" i="13"/>
  <c r="S40" i="13"/>
  <c r="R22" i="13"/>
  <c r="R21" i="13"/>
  <c r="J22" i="13"/>
  <c r="T19" i="3"/>
  <c r="T18" i="3"/>
  <c r="T17" i="3"/>
  <c r="T16" i="3"/>
  <c r="T15" i="3"/>
  <c r="T14" i="3"/>
  <c r="T13" i="3"/>
  <c r="T12" i="3"/>
  <c r="T11" i="3"/>
  <c r="T10" i="3"/>
  <c r="T9" i="3"/>
  <c r="T8" i="3"/>
  <c r="T7" i="3"/>
  <c r="T6" i="3"/>
  <c r="T5" i="3"/>
  <c r="T4" i="3"/>
  <c r="C5" i="8"/>
  <c r="D5" i="8"/>
  <c r="E5" i="8"/>
  <c r="F5" i="8"/>
  <c r="C6" i="8"/>
  <c r="D6" i="8"/>
  <c r="E6" i="8"/>
  <c r="F6" i="8"/>
  <c r="C7" i="8"/>
  <c r="D7" i="8"/>
  <c r="E7" i="8"/>
  <c r="F7" i="8"/>
  <c r="C8" i="8"/>
  <c r="D8" i="8"/>
  <c r="E8" i="8"/>
  <c r="F8" i="8"/>
  <c r="C10" i="8"/>
  <c r="D10" i="8"/>
  <c r="E10" i="8"/>
  <c r="F10" i="8"/>
  <c r="C11" i="8"/>
  <c r="D11" i="8"/>
  <c r="E11" i="8"/>
  <c r="F11" i="8"/>
  <c r="C12" i="8"/>
  <c r="D12" i="8"/>
  <c r="E12" i="8"/>
  <c r="F12" i="8"/>
  <c r="C13" i="8"/>
  <c r="D13" i="8"/>
  <c r="E13" i="8"/>
  <c r="F13" i="8"/>
  <c r="G5" i="6"/>
  <c r="H5" i="6"/>
  <c r="I5" i="6"/>
  <c r="J5" i="6"/>
  <c r="G6" i="6"/>
  <c r="H6" i="6"/>
  <c r="I6" i="6"/>
  <c r="J6" i="6"/>
  <c r="G7" i="6"/>
  <c r="H7" i="6"/>
  <c r="I7" i="6"/>
  <c r="J7" i="6"/>
  <c r="G8" i="6"/>
  <c r="H8" i="6"/>
  <c r="I8" i="6"/>
  <c r="J8" i="6"/>
  <c r="G10" i="6"/>
  <c r="H10" i="6"/>
  <c r="I10" i="6"/>
  <c r="J10" i="6"/>
  <c r="G11" i="6"/>
  <c r="H11" i="6"/>
  <c r="I11" i="6"/>
  <c r="J11" i="6"/>
  <c r="G12" i="6"/>
  <c r="H12" i="6"/>
  <c r="I12" i="6"/>
  <c r="J12" i="6"/>
  <c r="G13" i="6"/>
  <c r="H13" i="6"/>
  <c r="I13" i="6"/>
  <c r="J13" i="6"/>
  <c r="G5" i="7"/>
  <c r="H5" i="7"/>
  <c r="I5" i="7"/>
  <c r="J5" i="7"/>
  <c r="G6" i="7"/>
  <c r="H6" i="7"/>
  <c r="I6" i="7"/>
  <c r="J6" i="7"/>
  <c r="G7" i="7"/>
  <c r="H7" i="7"/>
  <c r="I7" i="7"/>
  <c r="J7" i="7"/>
  <c r="G8" i="7"/>
  <c r="H8" i="7"/>
  <c r="I8" i="7"/>
  <c r="J8" i="7"/>
  <c r="G10" i="7"/>
  <c r="H10" i="7"/>
  <c r="I10" i="7"/>
  <c r="J10" i="7"/>
  <c r="G11" i="7"/>
  <c r="H11" i="7"/>
  <c r="I11" i="7"/>
  <c r="J11" i="7"/>
  <c r="G12" i="7"/>
  <c r="H12" i="7"/>
  <c r="I12" i="7"/>
  <c r="J12" i="7"/>
  <c r="G13" i="7"/>
  <c r="H13" i="7"/>
  <c r="I13" i="7"/>
  <c r="J13" i="7"/>
  <c r="U12" i="3"/>
  <c r="U11" i="3"/>
  <c r="U10" i="3"/>
  <c r="U9" i="3"/>
  <c r="U8" i="3"/>
  <c r="U7" i="3"/>
  <c r="U6" i="3"/>
  <c r="U5" i="3"/>
  <c r="U4" i="3"/>
  <c r="U13" i="3"/>
  <c r="U14" i="3"/>
  <c r="U15" i="3"/>
  <c r="U16" i="3"/>
  <c r="U17" i="3"/>
  <c r="C5" i="11"/>
  <c r="D5" i="11"/>
  <c r="E5" i="11"/>
  <c r="F5" i="11"/>
  <c r="G5" i="11"/>
  <c r="H5" i="11"/>
  <c r="I5" i="11"/>
  <c r="J5" i="11"/>
  <c r="C6" i="11"/>
  <c r="D6" i="11"/>
  <c r="E6" i="11"/>
  <c r="F6" i="11"/>
  <c r="G6" i="11"/>
  <c r="H6" i="11"/>
  <c r="I6" i="11"/>
  <c r="J6" i="11"/>
  <c r="C7" i="11"/>
  <c r="D7" i="11"/>
  <c r="E7" i="11"/>
  <c r="F7" i="11"/>
  <c r="G7" i="11"/>
  <c r="H7" i="11"/>
  <c r="I7" i="11"/>
  <c r="J7" i="11"/>
  <c r="C8" i="11"/>
  <c r="D8" i="11"/>
  <c r="E8" i="11"/>
  <c r="F8" i="11"/>
  <c r="G8" i="11"/>
  <c r="H8" i="11"/>
  <c r="I8" i="11"/>
  <c r="J8" i="11"/>
  <c r="C10" i="11"/>
  <c r="D10" i="11"/>
  <c r="E10" i="11"/>
  <c r="F10" i="11"/>
  <c r="G10" i="11"/>
  <c r="H10" i="11"/>
  <c r="I10" i="11"/>
  <c r="J10" i="11"/>
  <c r="C11" i="11"/>
  <c r="D11" i="11"/>
  <c r="E11" i="11"/>
  <c r="F11" i="11"/>
  <c r="G11" i="11"/>
  <c r="H11" i="11"/>
  <c r="I11" i="11"/>
  <c r="J11" i="11"/>
  <c r="C12" i="11"/>
  <c r="D12" i="11"/>
  <c r="E12" i="11"/>
  <c r="F12" i="11"/>
  <c r="G12" i="11"/>
  <c r="H12" i="11"/>
  <c r="I12" i="11"/>
  <c r="J12" i="11"/>
  <c r="C13" i="11"/>
  <c r="D13" i="11"/>
  <c r="E13" i="11"/>
  <c r="F13" i="11"/>
  <c r="G13" i="11"/>
  <c r="H13" i="11"/>
  <c r="I13" i="11"/>
  <c r="J13" i="11"/>
  <c r="G5" i="10"/>
  <c r="H5" i="10"/>
  <c r="I5" i="10"/>
  <c r="J5" i="10"/>
  <c r="C5" i="10"/>
  <c r="D5" i="10"/>
  <c r="E5" i="10"/>
  <c r="F5" i="10"/>
  <c r="G6" i="10"/>
  <c r="H6" i="10"/>
  <c r="I6" i="10"/>
  <c r="J6" i="10"/>
  <c r="C6" i="10"/>
  <c r="D6" i="10"/>
  <c r="E6" i="10"/>
  <c r="F6" i="10"/>
  <c r="G7" i="10"/>
  <c r="H7" i="10"/>
  <c r="I7" i="10"/>
  <c r="J7" i="10"/>
  <c r="C7" i="10"/>
  <c r="D7" i="10"/>
  <c r="E7" i="10"/>
  <c r="F7" i="10"/>
  <c r="G8" i="10"/>
  <c r="H8" i="10"/>
  <c r="I8" i="10"/>
  <c r="J8" i="10"/>
  <c r="C8" i="10"/>
  <c r="D8" i="10"/>
  <c r="E8" i="10"/>
  <c r="F8" i="10"/>
  <c r="G10" i="10"/>
  <c r="H10" i="10"/>
  <c r="I10" i="10"/>
  <c r="J10" i="10"/>
  <c r="C10" i="10"/>
  <c r="D10" i="10"/>
  <c r="E10" i="10"/>
  <c r="F10" i="10"/>
  <c r="G11" i="10"/>
  <c r="H11" i="10"/>
  <c r="I11" i="10"/>
  <c r="J11" i="10"/>
  <c r="C11" i="10"/>
  <c r="D11" i="10"/>
  <c r="E11" i="10"/>
  <c r="F11" i="10"/>
  <c r="G12" i="10"/>
  <c r="H12" i="10"/>
  <c r="I12" i="10"/>
  <c r="J12" i="10"/>
  <c r="C12" i="10"/>
  <c r="D12" i="10"/>
  <c r="E12" i="10"/>
  <c r="F12" i="10"/>
  <c r="G13" i="10"/>
  <c r="H13" i="10"/>
  <c r="I13" i="10"/>
  <c r="J13" i="10"/>
  <c r="C13" i="10"/>
  <c r="D13" i="10"/>
  <c r="E13" i="10"/>
  <c r="F13" i="10"/>
  <c r="G5" i="9"/>
  <c r="H5" i="9"/>
  <c r="I5" i="9"/>
  <c r="J5" i="9"/>
  <c r="C5" i="9"/>
  <c r="D5" i="9"/>
  <c r="E5" i="9"/>
  <c r="F5" i="9"/>
  <c r="G6" i="9"/>
  <c r="H6" i="9"/>
  <c r="I6" i="9"/>
  <c r="J6" i="9"/>
  <c r="C6" i="9"/>
  <c r="D6" i="9"/>
  <c r="E6" i="9"/>
  <c r="F6" i="9"/>
  <c r="G7" i="9"/>
  <c r="H7" i="9"/>
  <c r="I7" i="9"/>
  <c r="J7" i="9"/>
  <c r="C7" i="9"/>
  <c r="D7" i="9"/>
  <c r="E7" i="9"/>
  <c r="F7" i="9"/>
  <c r="G8" i="9"/>
  <c r="H8" i="9"/>
  <c r="I8" i="9"/>
  <c r="J8" i="9"/>
  <c r="C8" i="9"/>
  <c r="D8" i="9"/>
  <c r="E8" i="9"/>
  <c r="F8" i="9"/>
  <c r="G10" i="9"/>
  <c r="H10" i="9"/>
  <c r="I10" i="9"/>
  <c r="J10" i="9"/>
  <c r="C10" i="9"/>
  <c r="D10" i="9"/>
  <c r="E10" i="9"/>
  <c r="F10" i="9"/>
  <c r="G11" i="9"/>
  <c r="H11" i="9"/>
  <c r="I11" i="9"/>
  <c r="J11" i="9"/>
  <c r="C11" i="9"/>
  <c r="D11" i="9"/>
  <c r="E11" i="9"/>
  <c r="F11" i="9"/>
  <c r="G12" i="9"/>
  <c r="H12" i="9"/>
  <c r="I12" i="9"/>
  <c r="J12" i="9"/>
  <c r="C12" i="9"/>
  <c r="D12" i="9"/>
  <c r="E12" i="9"/>
  <c r="F12" i="9"/>
  <c r="G13" i="9"/>
  <c r="H13" i="9"/>
  <c r="I13" i="9"/>
  <c r="J13" i="9"/>
  <c r="C13" i="9"/>
  <c r="D13" i="9"/>
  <c r="E13" i="9"/>
  <c r="F13" i="9"/>
  <c r="G5" i="8"/>
  <c r="H5" i="8"/>
  <c r="I5" i="8"/>
  <c r="J5" i="8"/>
  <c r="G6" i="8"/>
  <c r="H6" i="8"/>
  <c r="I6" i="8"/>
  <c r="J6" i="8"/>
  <c r="G7" i="8"/>
  <c r="H7" i="8"/>
  <c r="I7" i="8"/>
  <c r="J7" i="8"/>
  <c r="G8" i="8"/>
  <c r="H8" i="8"/>
  <c r="I8" i="8"/>
  <c r="J8" i="8"/>
  <c r="G10" i="8"/>
  <c r="H10" i="8"/>
  <c r="I10" i="8"/>
  <c r="J10" i="8"/>
  <c r="G11" i="8"/>
  <c r="H11" i="8"/>
  <c r="I11" i="8"/>
  <c r="J11" i="8"/>
  <c r="G12" i="8"/>
  <c r="H12" i="8"/>
  <c r="I12" i="8"/>
  <c r="J12" i="8"/>
  <c r="G13" i="8"/>
  <c r="H13" i="8"/>
  <c r="I13" i="8"/>
  <c r="J13" i="8"/>
  <c r="C5" i="7"/>
  <c r="D5" i="7"/>
  <c r="E5" i="7"/>
  <c r="F5" i="7"/>
  <c r="C6" i="7"/>
  <c r="D6" i="7"/>
  <c r="E6" i="7"/>
  <c r="F6" i="7"/>
  <c r="C7" i="7"/>
  <c r="D7" i="7"/>
  <c r="E7" i="7"/>
  <c r="F7" i="7"/>
  <c r="C8" i="7"/>
  <c r="D8" i="7"/>
  <c r="E8" i="7"/>
  <c r="F8" i="7"/>
  <c r="C10" i="7"/>
  <c r="D10" i="7"/>
  <c r="E10" i="7"/>
  <c r="F10" i="7"/>
  <c r="C11" i="7"/>
  <c r="D11" i="7"/>
  <c r="E11" i="7"/>
  <c r="F11" i="7"/>
  <c r="C12" i="7"/>
  <c r="D12" i="7"/>
  <c r="E12" i="7"/>
  <c r="F12" i="7"/>
  <c r="C13" i="7"/>
  <c r="D13" i="7"/>
  <c r="E13" i="7"/>
  <c r="F13" i="7"/>
  <c r="C5" i="6"/>
  <c r="D5" i="6"/>
  <c r="E5" i="6"/>
  <c r="F5" i="6"/>
  <c r="C6" i="6"/>
  <c r="D6" i="6"/>
  <c r="E6" i="6"/>
  <c r="F6" i="6"/>
  <c r="C7" i="6"/>
  <c r="D7" i="6"/>
  <c r="E7" i="6"/>
  <c r="F7" i="6"/>
  <c r="C8" i="6"/>
  <c r="D8" i="6"/>
  <c r="E8" i="6"/>
  <c r="F8" i="6"/>
  <c r="C10" i="6"/>
  <c r="D10" i="6"/>
  <c r="E10" i="6"/>
  <c r="F10" i="6"/>
  <c r="C11" i="6"/>
  <c r="D11" i="6"/>
  <c r="E11" i="6"/>
  <c r="F11" i="6"/>
  <c r="C12" i="6"/>
  <c r="D12" i="6"/>
  <c r="E12" i="6"/>
  <c r="F12" i="6"/>
  <c r="C13" i="6"/>
  <c r="D13" i="6"/>
  <c r="E13" i="6"/>
  <c r="F13" i="6"/>
  <c r="H5" i="5"/>
  <c r="I5" i="5"/>
  <c r="J5" i="5"/>
  <c r="C5" i="5"/>
  <c r="D5" i="5"/>
  <c r="E5" i="5"/>
  <c r="F5" i="5"/>
  <c r="H6" i="5"/>
  <c r="I6" i="5"/>
  <c r="J6" i="5"/>
  <c r="C6" i="5"/>
  <c r="D6" i="5"/>
  <c r="E6" i="5"/>
  <c r="F6" i="5"/>
  <c r="H7" i="5"/>
  <c r="I7" i="5"/>
  <c r="J7" i="5"/>
  <c r="C7" i="5"/>
  <c r="D7" i="5"/>
  <c r="E7" i="5"/>
  <c r="F7" i="5"/>
  <c r="H8" i="5"/>
  <c r="I8" i="5"/>
  <c r="J8" i="5"/>
  <c r="C8" i="5"/>
  <c r="D8" i="5"/>
  <c r="E8" i="5"/>
  <c r="F8" i="5"/>
  <c r="H10" i="5"/>
  <c r="I10" i="5"/>
  <c r="J10" i="5"/>
  <c r="C10" i="5"/>
  <c r="D10" i="5"/>
  <c r="E10" i="5"/>
  <c r="F10" i="5"/>
  <c r="H11" i="5"/>
  <c r="I11" i="5"/>
  <c r="J11" i="5"/>
  <c r="C11" i="5"/>
  <c r="D11" i="5"/>
  <c r="E11" i="5"/>
  <c r="F11" i="5"/>
  <c r="H12" i="5"/>
  <c r="I12" i="5"/>
  <c r="J12" i="5"/>
  <c r="C12" i="5"/>
  <c r="D12" i="5"/>
  <c r="E12" i="5"/>
  <c r="F12" i="5"/>
  <c r="H13" i="5"/>
  <c r="I13" i="5"/>
  <c r="J13" i="5"/>
  <c r="C13" i="5"/>
  <c r="D13" i="5"/>
  <c r="E13" i="5"/>
  <c r="F13" i="5"/>
  <c r="G6" i="5"/>
  <c r="G7" i="5"/>
  <c r="G8" i="5"/>
  <c r="G10" i="5"/>
  <c r="G11" i="5"/>
  <c r="G12" i="5"/>
  <c r="G13" i="5"/>
  <c r="H5" i="4"/>
  <c r="I5" i="4"/>
  <c r="J5" i="4"/>
  <c r="C5" i="4"/>
  <c r="D5" i="4"/>
  <c r="E5" i="4"/>
  <c r="F5" i="4"/>
  <c r="H6" i="4"/>
  <c r="I6" i="4"/>
  <c r="J6" i="4"/>
  <c r="C6" i="4"/>
  <c r="D6" i="4"/>
  <c r="E6" i="4"/>
  <c r="F6" i="4"/>
  <c r="H7" i="4"/>
  <c r="I7" i="4"/>
  <c r="J7" i="4"/>
  <c r="C7" i="4"/>
  <c r="D7" i="4"/>
  <c r="E7" i="4"/>
  <c r="F7" i="4"/>
  <c r="H8" i="4"/>
  <c r="I8" i="4"/>
  <c r="J8" i="4"/>
  <c r="C8" i="4"/>
  <c r="D8" i="4"/>
  <c r="E8" i="4"/>
  <c r="F8" i="4"/>
  <c r="H10" i="4"/>
  <c r="I10" i="4"/>
  <c r="J10" i="4"/>
  <c r="C10" i="4"/>
  <c r="D10" i="4"/>
  <c r="E10" i="4"/>
  <c r="F10" i="4"/>
  <c r="H11" i="4"/>
  <c r="I11" i="4"/>
  <c r="J11" i="4"/>
  <c r="C11" i="4"/>
  <c r="D11" i="4"/>
  <c r="E11" i="4"/>
  <c r="F11" i="4"/>
  <c r="H12" i="4"/>
  <c r="I12" i="4"/>
  <c r="J12" i="4"/>
  <c r="C12" i="4"/>
  <c r="D12" i="4"/>
  <c r="E12" i="4"/>
  <c r="F12" i="4"/>
  <c r="H13" i="4"/>
  <c r="I13" i="4"/>
  <c r="J13" i="4"/>
  <c r="C13" i="4"/>
  <c r="D13" i="4"/>
  <c r="E13" i="4"/>
  <c r="F13" i="4"/>
  <c r="G6" i="4"/>
  <c r="G7" i="4"/>
  <c r="G8" i="4"/>
  <c r="G10" i="4"/>
  <c r="G11" i="4"/>
  <c r="G12" i="4"/>
  <c r="G13" i="4"/>
  <c r="G5" i="5"/>
  <c r="G5" i="4"/>
  <c r="P35" i="2"/>
  <c r="I15" i="7" s="1"/>
  <c r="O35" i="2"/>
  <c r="H15" i="7" s="1"/>
  <c r="N35" i="2"/>
  <c r="G15" i="7" s="1"/>
  <c r="M35" i="2"/>
  <c r="J15" i="8" s="1"/>
  <c r="L35" i="2"/>
  <c r="I15" i="8" s="1"/>
  <c r="K35" i="2"/>
  <c r="H15" i="8" s="1"/>
  <c r="J35" i="2"/>
  <c r="G15" i="8" s="1"/>
  <c r="Y53" i="2"/>
  <c r="F15" i="9" s="1"/>
  <c r="X53" i="2"/>
  <c r="E15" i="9" s="1"/>
  <c r="W53" i="2"/>
  <c r="D15" i="9" s="1"/>
  <c r="V53" i="2"/>
  <c r="C15" i="9" s="1"/>
  <c r="U53" i="2"/>
  <c r="J15" i="9" s="1"/>
  <c r="T53" i="2"/>
  <c r="I15" i="9" s="1"/>
  <c r="S53" i="2"/>
  <c r="H15" i="9" s="1"/>
  <c r="R53" i="2"/>
  <c r="G15" i="9" s="1"/>
  <c r="Q53" i="2"/>
  <c r="F15" i="10" s="1"/>
  <c r="P53" i="2"/>
  <c r="E15" i="10" s="1"/>
  <c r="O53" i="2"/>
  <c r="D15" i="10" s="1"/>
  <c r="N53" i="2"/>
  <c r="C15" i="10" s="1"/>
  <c r="M53" i="2"/>
  <c r="J15" i="10" s="1"/>
  <c r="L53" i="2"/>
  <c r="I15" i="10" s="1"/>
  <c r="K53" i="2"/>
  <c r="H15" i="10" s="1"/>
  <c r="J53" i="2"/>
  <c r="G15" i="10" s="1"/>
  <c r="I53" i="2"/>
  <c r="J15" i="11" s="1"/>
  <c r="H53" i="2"/>
  <c r="I15" i="11" s="1"/>
  <c r="G53" i="2"/>
  <c r="H15" i="11" s="1"/>
  <c r="F53" i="2"/>
  <c r="G15" i="11" s="1"/>
  <c r="E71" i="2"/>
  <c r="F15" i="11" s="1"/>
  <c r="D71" i="2"/>
  <c r="E15" i="11" s="1"/>
  <c r="C71" i="2"/>
  <c r="D15" i="11" s="1"/>
  <c r="B71" i="2"/>
  <c r="C15" i="11" s="1"/>
  <c r="Q35" i="2"/>
  <c r="J15" i="7" s="1"/>
  <c r="X17" i="2"/>
  <c r="E15" i="4" s="1"/>
  <c r="W17" i="2"/>
  <c r="D15" i="4" s="1"/>
  <c r="V17" i="2"/>
  <c r="C15" i="4" s="1"/>
  <c r="U17" i="2"/>
  <c r="J15" i="4" s="1"/>
  <c r="T17" i="2"/>
  <c r="I15" i="4" s="1"/>
  <c r="S17" i="2"/>
  <c r="H15" i="4" s="1"/>
  <c r="R17" i="2"/>
  <c r="G15" i="4" s="1"/>
  <c r="Q17" i="2"/>
  <c r="F15" i="5" s="1"/>
  <c r="P17" i="2"/>
  <c r="E15" i="5" s="1"/>
  <c r="O17" i="2"/>
  <c r="D15" i="5" s="1"/>
  <c r="N17" i="2"/>
  <c r="C15" i="5" s="1"/>
  <c r="M17" i="2"/>
  <c r="J15" i="5" s="1"/>
  <c r="L17" i="2"/>
  <c r="I15" i="5" s="1"/>
  <c r="K17" i="2"/>
  <c r="H15" i="5" s="1"/>
  <c r="J17" i="2"/>
  <c r="G15" i="5" s="1"/>
  <c r="I17" i="2"/>
  <c r="F15" i="8" s="1"/>
  <c r="H17" i="2"/>
  <c r="E15" i="8" s="1"/>
  <c r="G17" i="2"/>
  <c r="D15" i="8" s="1"/>
  <c r="F17" i="2"/>
  <c r="C15" i="8" s="1"/>
  <c r="E17" i="2"/>
  <c r="F15" i="6" s="1"/>
  <c r="D17" i="2"/>
  <c r="E15" i="6" s="1"/>
  <c r="C17" i="2"/>
  <c r="D15" i="6" s="1"/>
  <c r="B17" i="2"/>
  <c r="C15" i="6" s="1"/>
  <c r="Y35" i="2"/>
  <c r="J15" i="6" s="1"/>
  <c r="X35" i="2"/>
  <c r="I15" i="6" s="1"/>
  <c r="W35" i="2"/>
  <c r="H15" i="6" s="1"/>
  <c r="V35" i="2"/>
  <c r="G15" i="6" s="1"/>
  <c r="U35" i="2"/>
  <c r="F15" i="7" s="1"/>
  <c r="T35" i="2"/>
  <c r="E15" i="7" s="1"/>
  <c r="S35" i="2"/>
  <c r="D15" i="7" s="1"/>
  <c r="R35" i="2"/>
  <c r="C15" i="7" s="1"/>
  <c r="Y17" i="2"/>
  <c r="F15" i="4" s="1"/>
  <c r="AB3" i="12"/>
  <c r="AA35" i="12"/>
  <c r="AA3" i="12"/>
  <c r="B11" i="2"/>
  <c r="C9" i="6" s="1"/>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C35" i="12"/>
  <c r="AC36" i="12"/>
  <c r="AC37" i="12"/>
  <c r="AC38" i="12"/>
  <c r="AC39" i="12"/>
  <c r="AC40" i="12"/>
  <c r="AC41" i="12"/>
  <c r="AC42" i="12"/>
  <c r="AC43" i="12"/>
  <c r="AC44" i="12"/>
  <c r="AC45" i="12"/>
  <c r="AC46" i="12"/>
  <c r="AC47" i="12"/>
  <c r="AC48" i="12"/>
  <c r="AC49" i="12"/>
  <c r="AC50" i="12"/>
  <c r="AC51" i="12"/>
  <c r="AC52" i="12"/>
  <c r="AC53" i="12"/>
  <c r="AC54" i="12"/>
  <c r="AC55" i="12"/>
  <c r="AC56" i="12"/>
  <c r="AC57" i="12"/>
  <c r="AC58" i="12"/>
  <c r="AC59" i="12"/>
  <c r="AC60" i="12"/>
  <c r="AC61" i="12"/>
  <c r="AC62" i="12"/>
  <c r="AC63" i="12"/>
  <c r="AC64" i="12"/>
  <c r="AC65" i="12"/>
  <c r="AC66" i="12"/>
  <c r="AC4" i="12"/>
  <c r="AC5" i="12"/>
  <c r="AC6" i="12"/>
  <c r="AC7" i="12"/>
  <c r="AC8" i="12"/>
  <c r="AC9" i="12"/>
  <c r="AC10" i="12"/>
  <c r="AC11" i="12"/>
  <c r="AC12" i="12"/>
  <c r="AC13" i="12"/>
  <c r="AC14" i="12"/>
  <c r="AC15" i="12"/>
  <c r="AC16" i="12"/>
  <c r="AC17" i="12"/>
  <c r="AC18" i="12"/>
  <c r="AC19" i="12"/>
  <c r="AC20" i="12"/>
  <c r="AC21" i="12"/>
  <c r="AC22" i="12"/>
  <c r="AC23" i="12"/>
  <c r="AC24" i="12"/>
  <c r="AC25" i="12"/>
  <c r="AC26" i="12"/>
  <c r="AC27" i="12"/>
  <c r="AC28" i="12"/>
  <c r="AC29" i="12"/>
  <c r="AC30" i="12"/>
  <c r="AC31" i="12"/>
  <c r="AC32" i="12"/>
  <c r="AC33" i="12"/>
  <c r="AC34" i="12"/>
  <c r="AC3" i="12"/>
  <c r="AB36" i="12"/>
  <c r="AB37" i="12"/>
  <c r="AB38" i="12"/>
  <c r="AB39" i="12"/>
  <c r="AB40" i="12"/>
  <c r="AB41" i="12"/>
  <c r="AB42" i="12"/>
  <c r="AB43" i="12"/>
  <c r="AB44" i="12"/>
  <c r="AB45" i="12"/>
  <c r="AB46" i="12"/>
  <c r="AB47" i="12"/>
  <c r="AB48" i="12"/>
  <c r="AB49" i="12"/>
  <c r="AB50" i="12"/>
  <c r="AB51" i="12"/>
  <c r="AB52" i="12"/>
  <c r="AB53" i="12"/>
  <c r="AB54" i="12"/>
  <c r="AB55" i="12"/>
  <c r="AB56" i="12"/>
  <c r="AB57" i="12"/>
  <c r="AB58" i="12"/>
  <c r="AB59" i="12"/>
  <c r="AB60" i="12"/>
  <c r="AB61" i="12"/>
  <c r="AB62" i="12"/>
  <c r="AB63" i="12"/>
  <c r="AB64" i="12"/>
  <c r="AB65" i="12"/>
  <c r="AB66" i="12"/>
  <c r="AB35" i="12"/>
  <c r="AB4" i="12"/>
  <c r="AB5" i="12"/>
  <c r="AB6" i="12"/>
  <c r="AB7" i="12"/>
  <c r="AB8" i="12"/>
  <c r="AB9" i="12"/>
  <c r="AB10" i="12"/>
  <c r="AB11" i="12"/>
  <c r="AB12" i="12"/>
  <c r="AB13" i="12"/>
  <c r="AB14" i="12"/>
  <c r="AB15" i="12"/>
  <c r="AB16" i="12"/>
  <c r="AB17" i="12"/>
  <c r="AB18" i="12"/>
  <c r="AB19" i="12"/>
  <c r="AB20" i="12"/>
  <c r="AB21" i="12"/>
  <c r="AB22" i="12"/>
  <c r="AB23" i="12"/>
  <c r="AB24" i="12"/>
  <c r="AB25" i="12"/>
  <c r="AB26" i="12"/>
  <c r="AB27" i="12"/>
  <c r="AB28" i="12"/>
  <c r="AB29" i="12"/>
  <c r="AB30" i="12"/>
  <c r="AB31" i="12"/>
  <c r="AB32" i="12"/>
  <c r="AB33" i="12"/>
  <c r="AB34" i="12"/>
  <c r="J18" i="2"/>
  <c r="G16" i="5" s="1"/>
  <c r="C70" i="2"/>
  <c r="D14" i="11" s="1"/>
  <c r="B70" i="2"/>
  <c r="C14" i="11" s="1"/>
  <c r="P34" i="2"/>
  <c r="I14" i="7" s="1"/>
  <c r="O34" i="2"/>
  <c r="H14" i="7" s="1"/>
  <c r="N34" i="2"/>
  <c r="G14" i="7" s="1"/>
  <c r="M34" i="2"/>
  <c r="J14" i="8" s="1"/>
  <c r="L34" i="2"/>
  <c r="I14" i="8" s="1"/>
  <c r="K34" i="2"/>
  <c r="H14" i="8" s="1"/>
  <c r="J34" i="2"/>
  <c r="G14" i="8" s="1"/>
  <c r="Y52" i="2"/>
  <c r="F14" i="9" s="1"/>
  <c r="X52" i="2"/>
  <c r="E14" i="9" s="1"/>
  <c r="W52" i="2"/>
  <c r="D14" i="9" s="1"/>
  <c r="V52" i="2"/>
  <c r="C14" i="9" s="1"/>
  <c r="U52" i="2"/>
  <c r="J14" i="9" s="1"/>
  <c r="T52" i="2"/>
  <c r="I14" i="9" s="1"/>
  <c r="S52" i="2"/>
  <c r="H14" i="9" s="1"/>
  <c r="R52" i="2"/>
  <c r="G14" i="9" s="1"/>
  <c r="Q52" i="2"/>
  <c r="F14" i="10" s="1"/>
  <c r="P52" i="2"/>
  <c r="E14" i="10" s="1"/>
  <c r="O52" i="2"/>
  <c r="D14" i="10" s="1"/>
  <c r="N52" i="2"/>
  <c r="C14" i="10" s="1"/>
  <c r="M52" i="2"/>
  <c r="J14" i="10" s="1"/>
  <c r="L52" i="2"/>
  <c r="I14" i="10" s="1"/>
  <c r="K52" i="2"/>
  <c r="H14" i="10" s="1"/>
  <c r="J52" i="2"/>
  <c r="G14" i="10" s="1"/>
  <c r="I52" i="2"/>
  <c r="J14" i="11" s="1"/>
  <c r="H52" i="2"/>
  <c r="I14" i="11" s="1"/>
  <c r="G52" i="2"/>
  <c r="H14" i="11" s="1"/>
  <c r="F52" i="2"/>
  <c r="G14" i="11" s="1"/>
  <c r="E70" i="2"/>
  <c r="F14" i="11" s="1"/>
  <c r="D70" i="2"/>
  <c r="E14" i="11" s="1"/>
  <c r="Q34" i="2"/>
  <c r="J14" i="7" s="1"/>
  <c r="X16" i="2"/>
  <c r="E14" i="4" s="1"/>
  <c r="W16" i="2"/>
  <c r="D14" i="4" s="1"/>
  <c r="V16" i="2"/>
  <c r="C14" i="4" s="1"/>
  <c r="U16" i="2"/>
  <c r="J14" i="4" s="1"/>
  <c r="T16" i="2"/>
  <c r="I14" i="4" s="1"/>
  <c r="S16" i="2"/>
  <c r="H14" i="4" s="1"/>
  <c r="R16" i="2"/>
  <c r="G14" i="4" s="1"/>
  <c r="Q16" i="2"/>
  <c r="F14" i="5" s="1"/>
  <c r="P16" i="2"/>
  <c r="E14" i="5" s="1"/>
  <c r="O16" i="2"/>
  <c r="D14" i="5" s="1"/>
  <c r="N16" i="2"/>
  <c r="C14" i="5" s="1"/>
  <c r="M16" i="2"/>
  <c r="J14" i="5" s="1"/>
  <c r="L16" i="2"/>
  <c r="I14" i="5" s="1"/>
  <c r="K16" i="2"/>
  <c r="H14" i="5" s="1"/>
  <c r="J16" i="2"/>
  <c r="G14" i="5" s="1"/>
  <c r="I16" i="2"/>
  <c r="F14" i="8" s="1"/>
  <c r="H16" i="2"/>
  <c r="E14" i="8" s="1"/>
  <c r="G16" i="2"/>
  <c r="D14" i="8" s="1"/>
  <c r="F16" i="2"/>
  <c r="C14" i="8" s="1"/>
  <c r="E16" i="2"/>
  <c r="F14" i="6" s="1"/>
  <c r="D16" i="2"/>
  <c r="E14" i="6" s="1"/>
  <c r="C16" i="2"/>
  <c r="D14" i="6" s="1"/>
  <c r="B16" i="2"/>
  <c r="C14" i="6" s="1"/>
  <c r="Y34" i="2"/>
  <c r="J14" i="6" s="1"/>
  <c r="X34" i="2"/>
  <c r="I14" i="6" s="1"/>
  <c r="W34" i="2"/>
  <c r="H14" i="6" s="1"/>
  <c r="V34" i="2"/>
  <c r="G14" i="6" s="1"/>
  <c r="U34" i="2"/>
  <c r="F14" i="7" s="1"/>
  <c r="T34" i="2"/>
  <c r="E14" i="7" s="1"/>
  <c r="S34" i="2"/>
  <c r="D14" i="7" s="1"/>
  <c r="R34" i="2"/>
  <c r="C14" i="7" s="1"/>
  <c r="Y16" i="2"/>
  <c r="F14" i="4" s="1"/>
  <c r="B72" i="2"/>
  <c r="C16" i="11" s="1"/>
  <c r="C72" i="2"/>
  <c r="D16" i="11" s="1"/>
  <c r="D72" i="2"/>
  <c r="E16" i="11" s="1"/>
  <c r="E72" i="2"/>
  <c r="F16" i="11" s="1"/>
  <c r="F54" i="2"/>
  <c r="G16" i="11" s="1"/>
  <c r="G54" i="2"/>
  <c r="H16" i="11" s="1"/>
  <c r="H54" i="2"/>
  <c r="I16" i="11" s="1"/>
  <c r="I54" i="2"/>
  <c r="J16" i="11" s="1"/>
  <c r="J54" i="2"/>
  <c r="G16" i="10" s="1"/>
  <c r="K54" i="2"/>
  <c r="H16" i="10" s="1"/>
  <c r="L54" i="2"/>
  <c r="I16" i="10" s="1"/>
  <c r="M54" i="2"/>
  <c r="J16" i="10" s="1"/>
  <c r="N54" i="2"/>
  <c r="C16" i="10" s="1"/>
  <c r="O54" i="2"/>
  <c r="D16" i="10" s="1"/>
  <c r="P54" i="2"/>
  <c r="E16" i="10" s="1"/>
  <c r="Q54" i="2"/>
  <c r="F16" i="10" s="1"/>
  <c r="R54" i="2"/>
  <c r="G16" i="9" s="1"/>
  <c r="S54" i="2"/>
  <c r="H16" i="9" s="1"/>
  <c r="T54" i="2"/>
  <c r="I16" i="9" s="1"/>
  <c r="U54" i="2"/>
  <c r="J16" i="9" s="1"/>
  <c r="V54" i="2"/>
  <c r="C16" i="9" s="1"/>
  <c r="W54" i="2"/>
  <c r="D16" i="9" s="1"/>
  <c r="X54" i="2"/>
  <c r="E16" i="9" s="1"/>
  <c r="Y54" i="2"/>
  <c r="F16" i="9" s="1"/>
  <c r="J36" i="2"/>
  <c r="G16" i="8" s="1"/>
  <c r="K36" i="2"/>
  <c r="H16" i="8" s="1"/>
  <c r="L36" i="2"/>
  <c r="I16" i="8" s="1"/>
  <c r="M36" i="2"/>
  <c r="J16" i="8" s="1"/>
  <c r="N36" i="2"/>
  <c r="G16" i="7" s="1"/>
  <c r="O36" i="2"/>
  <c r="H16" i="7" s="1"/>
  <c r="P36" i="2"/>
  <c r="I16" i="7" s="1"/>
  <c r="Q36" i="2"/>
  <c r="J16" i="7" s="1"/>
  <c r="V21" i="13" l="1"/>
  <c r="B3" i="13"/>
  <c r="J21" i="13"/>
  <c r="B57" i="13"/>
  <c r="C4" i="13"/>
  <c r="J39" i="13"/>
  <c r="F3" i="13"/>
  <c r="V39" i="14"/>
  <c r="N39" i="14"/>
  <c r="B57" i="14"/>
  <c r="N21" i="14"/>
  <c r="R39" i="14"/>
  <c r="J39" i="14"/>
  <c r="B3" i="14"/>
  <c r="S40" i="14"/>
  <c r="R39" i="13"/>
  <c r="N39" i="13"/>
  <c r="F39" i="13"/>
  <c r="V39" i="13"/>
  <c r="E65" i="2"/>
  <c r="F9" i="11" s="1"/>
  <c r="Q29" i="2" l="1"/>
  <c r="J9" i="7" s="1"/>
  <c r="P29" i="2"/>
  <c r="I9" i="7" s="1"/>
  <c r="O29" i="2"/>
  <c r="H9" i="7" s="1"/>
  <c r="N29" i="2"/>
  <c r="G9" i="7" s="1"/>
  <c r="M29" i="2"/>
  <c r="J9" i="8" s="1"/>
  <c r="L29" i="2"/>
  <c r="I9" i="8" s="1"/>
  <c r="K29" i="2"/>
  <c r="H9" i="8" s="1"/>
  <c r="J29" i="2"/>
  <c r="G9" i="8" s="1"/>
  <c r="Y47" i="2"/>
  <c r="F9" i="9" s="1"/>
  <c r="X47" i="2"/>
  <c r="E9" i="9" s="1"/>
  <c r="W47" i="2"/>
  <c r="D9" i="9" s="1"/>
  <c r="V47" i="2"/>
  <c r="C9" i="9" s="1"/>
  <c r="U47" i="2"/>
  <c r="J9" i="9" s="1"/>
  <c r="T47" i="2"/>
  <c r="I9" i="9" s="1"/>
  <c r="S47" i="2"/>
  <c r="H9" i="9" s="1"/>
  <c r="R47" i="2"/>
  <c r="G9" i="9" s="1"/>
  <c r="Q47" i="2"/>
  <c r="F9" i="10" s="1"/>
  <c r="P47" i="2"/>
  <c r="E9" i="10" s="1"/>
  <c r="O47" i="2"/>
  <c r="D9" i="10" s="1"/>
  <c r="N47" i="2"/>
  <c r="C9" i="10" s="1"/>
  <c r="M47" i="2"/>
  <c r="J9" i="10" s="1"/>
  <c r="L47" i="2"/>
  <c r="I9" i="10" s="1"/>
  <c r="K47" i="2"/>
  <c r="H9" i="10" s="1"/>
  <c r="J47" i="2"/>
  <c r="G9" i="10" s="1"/>
  <c r="I47" i="2"/>
  <c r="J9" i="11" s="1"/>
  <c r="H47" i="2"/>
  <c r="I9" i="11" s="1"/>
  <c r="G47" i="2"/>
  <c r="H9" i="11" s="1"/>
  <c r="F47" i="2"/>
  <c r="G9" i="11" s="1"/>
  <c r="D65" i="2"/>
  <c r="E9" i="11" s="1"/>
  <c r="C65" i="2"/>
  <c r="D9" i="11" s="1"/>
  <c r="B65" i="2"/>
  <c r="C9" i="11" s="1"/>
  <c r="Q24" i="2"/>
  <c r="J4" i="7" s="1"/>
  <c r="P24" i="2"/>
  <c r="I4" i="7" s="1"/>
  <c r="O24" i="2"/>
  <c r="H4" i="7" s="1"/>
  <c r="N24" i="2"/>
  <c r="G4" i="7" s="1"/>
  <c r="M24" i="2"/>
  <c r="J4" i="8" s="1"/>
  <c r="L24" i="2"/>
  <c r="I4" i="8" s="1"/>
  <c r="K24" i="2"/>
  <c r="H4" i="8" s="1"/>
  <c r="G4" i="8"/>
  <c r="Y42" i="2"/>
  <c r="F4" i="9" s="1"/>
  <c r="X42" i="2"/>
  <c r="E4" i="9" s="1"/>
  <c r="W42" i="2"/>
  <c r="D4" i="9" s="1"/>
  <c r="V42" i="2"/>
  <c r="C4" i="9" s="1"/>
  <c r="U42" i="2"/>
  <c r="J4" i="9" s="1"/>
  <c r="T42" i="2"/>
  <c r="I4" i="9" s="1"/>
  <c r="S42" i="2"/>
  <c r="H4" i="9" s="1"/>
  <c r="R42" i="2"/>
  <c r="G4" i="9" s="1"/>
  <c r="Q42" i="2"/>
  <c r="F4" i="10" s="1"/>
  <c r="P42" i="2"/>
  <c r="E4" i="10" s="1"/>
  <c r="O42" i="2"/>
  <c r="D4" i="10" s="1"/>
  <c r="N42" i="2"/>
  <c r="C4" i="10" s="1"/>
  <c r="M42" i="2"/>
  <c r="J4" i="10" s="1"/>
  <c r="L42" i="2"/>
  <c r="I4" i="10" s="1"/>
  <c r="K42" i="2"/>
  <c r="H4" i="10" s="1"/>
  <c r="J42" i="2"/>
  <c r="G4" i="10" s="1"/>
  <c r="I42" i="2"/>
  <c r="J4" i="11" s="1"/>
  <c r="H42" i="2"/>
  <c r="I4" i="11" s="1"/>
  <c r="G42" i="2"/>
  <c r="H4" i="11" s="1"/>
  <c r="F42" i="2"/>
  <c r="G4" i="11" s="1"/>
  <c r="E60" i="2"/>
  <c r="F4" i="11" s="1"/>
  <c r="D60" i="2"/>
  <c r="E4" i="11" s="1"/>
  <c r="C60" i="2"/>
  <c r="D4" i="11" s="1"/>
  <c r="B60" i="2"/>
  <c r="C4" i="11" s="1"/>
  <c r="Y6" i="2"/>
  <c r="F4" i="4" s="1"/>
  <c r="X6" i="2"/>
  <c r="E4" i="4" s="1"/>
  <c r="W6" i="2"/>
  <c r="D4" i="4" s="1"/>
  <c r="V6" i="2"/>
  <c r="C4" i="4" s="1"/>
  <c r="U6" i="2"/>
  <c r="J4" i="4" s="1"/>
  <c r="T6" i="2"/>
  <c r="I4" i="4" s="1"/>
  <c r="S6" i="2"/>
  <c r="H4" i="4" s="1"/>
  <c r="R6" i="2"/>
  <c r="G4" i="4" s="1"/>
  <c r="Q6" i="2"/>
  <c r="F4" i="5" s="1"/>
  <c r="P6" i="2"/>
  <c r="E4" i="5" s="1"/>
  <c r="O6" i="2"/>
  <c r="D4" i="5" s="1"/>
  <c r="N6" i="2"/>
  <c r="C4" i="5" s="1"/>
  <c r="M6" i="2"/>
  <c r="J4" i="5" s="1"/>
  <c r="L6" i="2"/>
  <c r="I4" i="5" s="1"/>
  <c r="K6" i="2"/>
  <c r="H4" i="5" s="1"/>
  <c r="J6" i="2"/>
  <c r="G4" i="5" s="1"/>
  <c r="I6" i="2"/>
  <c r="F4" i="8" s="1"/>
  <c r="H6" i="2"/>
  <c r="E4" i="8" s="1"/>
  <c r="G6" i="2"/>
  <c r="D4" i="8" s="1"/>
  <c r="F6" i="2"/>
  <c r="C4" i="8" s="1"/>
  <c r="E6" i="2"/>
  <c r="F4" i="6" s="1"/>
  <c r="D6" i="2"/>
  <c r="E4" i="6" s="1"/>
  <c r="C6" i="2"/>
  <c r="D4" i="6" s="1"/>
  <c r="B6" i="2"/>
  <c r="C4" i="6" s="1"/>
  <c r="Y24" i="2"/>
  <c r="J4" i="6" s="1"/>
  <c r="X24" i="2"/>
  <c r="I4" i="6" s="1"/>
  <c r="W24" i="2"/>
  <c r="H4" i="6" s="1"/>
  <c r="V24" i="2"/>
  <c r="G4" i="6" s="1"/>
  <c r="U24" i="2"/>
  <c r="F4" i="7" s="1"/>
  <c r="T24" i="2"/>
  <c r="E4" i="7" s="1"/>
  <c r="S24" i="2"/>
  <c r="D4" i="7" s="1"/>
  <c r="R24" i="2"/>
  <c r="C4" i="7" s="1"/>
  <c r="R29" i="2"/>
  <c r="C9" i="7" s="1"/>
  <c r="S29" i="2"/>
  <c r="D9" i="7" s="1"/>
  <c r="T29" i="2"/>
  <c r="E9" i="7" s="1"/>
  <c r="U29" i="2"/>
  <c r="F9" i="7" s="1"/>
  <c r="V29" i="2"/>
  <c r="G9" i="6" s="1"/>
  <c r="W29" i="2"/>
  <c r="H9" i="6" s="1"/>
  <c r="X29" i="2"/>
  <c r="I9" i="6" s="1"/>
  <c r="Y29" i="2"/>
  <c r="J9" i="6" s="1"/>
  <c r="C11" i="2"/>
  <c r="D9" i="6" s="1"/>
  <c r="D11" i="2"/>
  <c r="E9" i="6" s="1"/>
  <c r="E11" i="2"/>
  <c r="F9" i="6" s="1"/>
  <c r="F11" i="2"/>
  <c r="C9" i="8" s="1"/>
  <c r="G11" i="2"/>
  <c r="D9" i="8" s="1"/>
  <c r="H11" i="2"/>
  <c r="E9" i="8" s="1"/>
  <c r="I11" i="2"/>
  <c r="F9" i="8" s="1"/>
  <c r="J11" i="2"/>
  <c r="G9" i="5" s="1"/>
  <c r="K11" i="2"/>
  <c r="H9" i="5" s="1"/>
  <c r="L11" i="2"/>
  <c r="I9" i="5" s="1"/>
  <c r="M11" i="2"/>
  <c r="J9" i="5" s="1"/>
  <c r="N11" i="2"/>
  <c r="C9" i="5" s="1"/>
  <c r="O11" i="2"/>
  <c r="D9" i="5" s="1"/>
  <c r="P11" i="2"/>
  <c r="E9" i="5" s="1"/>
  <c r="Q11" i="2"/>
  <c r="F9" i="5" s="1"/>
  <c r="R11" i="2"/>
  <c r="G9" i="4" s="1"/>
  <c r="S11" i="2"/>
  <c r="H9" i="4" s="1"/>
  <c r="T11" i="2"/>
  <c r="I9" i="4" s="1"/>
  <c r="U11" i="2"/>
  <c r="J9" i="4" s="1"/>
  <c r="V11" i="2"/>
  <c r="C9" i="4" s="1"/>
  <c r="W11" i="2"/>
  <c r="D9" i="4" s="1"/>
  <c r="X11" i="2"/>
  <c r="E9" i="4" s="1"/>
  <c r="Y11" i="2"/>
  <c r="F9" i="4" s="1"/>
  <c r="C18" i="2" l="1"/>
  <c r="D16" i="6" s="1"/>
  <c r="B18" i="2"/>
  <c r="C16" i="6" s="1"/>
  <c r="Y36" i="2"/>
  <c r="J16" i="6" s="1"/>
  <c r="V36" i="2"/>
  <c r="G16" i="6" s="1"/>
  <c r="X36" i="2"/>
  <c r="I16" i="6" s="1"/>
  <c r="W36" i="2"/>
  <c r="H16" i="6" s="1"/>
  <c r="U36" i="2"/>
  <c r="F16" i="7" s="1"/>
  <c r="T36" i="2"/>
  <c r="E16" i="7" s="1"/>
  <c r="S36" i="2"/>
  <c r="D16" i="7" s="1"/>
  <c r="R36" i="2"/>
  <c r="C16" i="7" s="1"/>
  <c r="P18" i="2"/>
  <c r="E16" i="5" s="1"/>
  <c r="O18" i="2"/>
  <c r="D16" i="5" s="1"/>
  <c r="N18" i="2"/>
  <c r="C16" i="5" s="1"/>
  <c r="M18" i="2"/>
  <c r="J16" i="5" s="1"/>
  <c r="L18" i="2"/>
  <c r="I16" i="5" s="1"/>
  <c r="K18" i="2"/>
  <c r="H16" i="5" s="1"/>
  <c r="I18" i="2"/>
  <c r="F16" i="8" s="1"/>
  <c r="H18" i="2"/>
  <c r="E16" i="8" s="1"/>
  <c r="G18" i="2"/>
  <c r="D16" i="8" s="1"/>
  <c r="F18" i="2"/>
  <c r="C16" i="8" s="1"/>
  <c r="E18" i="2"/>
  <c r="F16" i="6" s="1"/>
  <c r="D18" i="2"/>
  <c r="E16" i="6" s="1"/>
  <c r="Q18" i="2"/>
  <c r="F16" i="5" s="1"/>
  <c r="R18" i="2"/>
  <c r="G16" i="4" s="1"/>
  <c r="S18" i="2"/>
  <c r="H16" i="4" s="1"/>
  <c r="T18" i="2"/>
  <c r="I16" i="4" s="1"/>
  <c r="U18" i="2"/>
  <c r="J16" i="4" s="1"/>
  <c r="V18" i="2"/>
  <c r="C16" i="4" s="1"/>
  <c r="W18" i="2"/>
  <c r="D16" i="4" s="1"/>
  <c r="X18" i="2"/>
  <c r="E16" i="4" s="1"/>
  <c r="Y18" i="2"/>
  <c r="F16" i="4" s="1"/>
  <c r="B59" i="2"/>
  <c r="Q23" i="2"/>
  <c r="P23" i="2"/>
  <c r="O23" i="2"/>
  <c r="N23" i="2"/>
  <c r="M23" i="2"/>
  <c r="AD39" i="12" s="1"/>
  <c r="L23" i="2"/>
  <c r="AD40" i="12" s="1"/>
  <c r="K23" i="2"/>
  <c r="AD41" i="12" s="1"/>
  <c r="J23" i="2"/>
  <c r="AD42" i="12" s="1"/>
  <c r="Y41" i="2"/>
  <c r="AD43" i="12" s="1"/>
  <c r="X41" i="2"/>
  <c r="AD44" i="12" s="1"/>
  <c r="W41" i="2"/>
  <c r="AD45" i="12" s="1"/>
  <c r="V41" i="2"/>
  <c r="AD46" i="12" s="1"/>
  <c r="U41" i="2"/>
  <c r="AD47" i="12" s="1"/>
  <c r="T41" i="2"/>
  <c r="AD48" i="12" s="1"/>
  <c r="S41" i="2"/>
  <c r="AD49" i="12" s="1"/>
  <c r="R41" i="2"/>
  <c r="AD50" i="12" s="1"/>
  <c r="Q41" i="2"/>
  <c r="AD51" i="12" s="1"/>
  <c r="P41" i="2"/>
  <c r="O41" i="2"/>
  <c r="AD53" i="12" s="1"/>
  <c r="N41" i="2"/>
  <c r="AD54" i="12" s="1"/>
  <c r="M41" i="2"/>
  <c r="L41" i="2"/>
  <c r="AD56" i="12" s="1"/>
  <c r="K41" i="2"/>
  <c r="AD57" i="12" s="1"/>
  <c r="J41" i="2"/>
  <c r="AD58" i="12" s="1"/>
  <c r="I41" i="2"/>
  <c r="AD59" i="12" s="1"/>
  <c r="H41" i="2"/>
  <c r="AD60" i="12" s="1"/>
  <c r="G41" i="2"/>
  <c r="AD61" i="12" s="1"/>
  <c r="F41" i="2"/>
  <c r="AD62" i="12" s="1"/>
  <c r="E59" i="2"/>
  <c r="AD63" i="12" s="1"/>
  <c r="D59" i="2"/>
  <c r="AD64" i="12" s="1"/>
  <c r="C59" i="2"/>
  <c r="AD65" i="12" s="1"/>
  <c r="T23" i="2"/>
  <c r="AD32" i="12" s="1"/>
  <c r="W23" i="2"/>
  <c r="X23" i="2"/>
  <c r="Y23" i="2"/>
  <c r="B5" i="2"/>
  <c r="AD26" i="12" s="1"/>
  <c r="C5" i="2"/>
  <c r="AD25" i="12" s="1"/>
  <c r="D5" i="2"/>
  <c r="AD24" i="12" s="1"/>
  <c r="E5" i="2"/>
  <c r="AD23" i="12" s="1"/>
  <c r="F5" i="2"/>
  <c r="G5" i="2"/>
  <c r="H5" i="2"/>
  <c r="I5" i="2"/>
  <c r="J5" i="2"/>
  <c r="AD18" i="12" s="1"/>
  <c r="K5" i="2"/>
  <c r="AD17" i="12" s="1"/>
  <c r="L5" i="2"/>
  <c r="AD16" i="12" s="1"/>
  <c r="M5" i="2"/>
  <c r="AD15" i="12" s="1"/>
  <c r="N5" i="2"/>
  <c r="AD14" i="12" s="1"/>
  <c r="O5" i="2"/>
  <c r="AD13" i="12" s="1"/>
  <c r="P5" i="2"/>
  <c r="AD12" i="12" s="1"/>
  <c r="Q5" i="2"/>
  <c r="AD11" i="12" s="1"/>
  <c r="R5" i="2"/>
  <c r="AD10" i="12" s="1"/>
  <c r="S5" i="2"/>
  <c r="AD9" i="12" s="1"/>
  <c r="T5" i="2"/>
  <c r="AD8" i="12" s="1"/>
  <c r="U5" i="2"/>
  <c r="AD7" i="12" s="1"/>
  <c r="V5" i="2"/>
  <c r="AD6" i="12" s="1"/>
  <c r="W5" i="2"/>
  <c r="AD5" i="12" s="1"/>
  <c r="X5" i="2"/>
  <c r="AD66" i="12" l="1"/>
  <c r="B58" i="2"/>
  <c r="AD55" i="12"/>
  <c r="M40" i="2"/>
  <c r="AE55" i="12" s="1"/>
  <c r="E3" i="10"/>
  <c r="AD52" i="12"/>
  <c r="AD37" i="12"/>
  <c r="H3" i="7"/>
  <c r="AD36" i="12"/>
  <c r="I3" i="7"/>
  <c r="G3" i="7"/>
  <c r="AD38" i="12"/>
  <c r="J3" i="6"/>
  <c r="AD27" i="12"/>
  <c r="I3" i="6"/>
  <c r="AD28" i="12"/>
  <c r="H3" i="6"/>
  <c r="AD29" i="12"/>
  <c r="J3" i="7"/>
  <c r="AD35" i="12"/>
  <c r="E3" i="4"/>
  <c r="AD4" i="12"/>
  <c r="E3" i="8"/>
  <c r="AD20" i="12"/>
  <c r="F3" i="8"/>
  <c r="AD19" i="12"/>
  <c r="D3" i="8"/>
  <c r="AD21" i="12"/>
  <c r="C3" i="8"/>
  <c r="AD22" i="12"/>
  <c r="V4" i="2"/>
  <c r="AE6" i="12" s="1"/>
  <c r="C3" i="4"/>
  <c r="F4" i="2"/>
  <c r="AE22" i="12" s="1"/>
  <c r="J40" i="2"/>
  <c r="AE58" i="12" s="1"/>
  <c r="G3" i="10"/>
  <c r="AE66" i="12"/>
  <c r="C3" i="11"/>
  <c r="U4" i="2"/>
  <c r="AE7" i="12" s="1"/>
  <c r="J3" i="4"/>
  <c r="M4" i="2"/>
  <c r="AE15" i="12" s="1"/>
  <c r="J3" i="5"/>
  <c r="E4" i="2"/>
  <c r="AE23" i="12" s="1"/>
  <c r="F3" i="6"/>
  <c r="C58" i="2"/>
  <c r="AE65" i="12" s="1"/>
  <c r="D3" i="11"/>
  <c r="K40" i="2"/>
  <c r="AE57" i="12" s="1"/>
  <c r="H3" i="10"/>
  <c r="S40" i="2"/>
  <c r="AE49" i="12" s="1"/>
  <c r="H3" i="9"/>
  <c r="K22" i="2"/>
  <c r="AE41" i="12" s="1"/>
  <c r="H3" i="8"/>
  <c r="D58" i="2"/>
  <c r="AE64" i="12" s="1"/>
  <c r="E3" i="11"/>
  <c r="R40" i="2"/>
  <c r="AE50" i="12" s="1"/>
  <c r="G3" i="9"/>
  <c r="L22" i="2"/>
  <c r="AE40" i="12" s="1"/>
  <c r="I3" i="8"/>
  <c r="U40" i="2"/>
  <c r="AE47" i="12" s="1"/>
  <c r="J3" i="9"/>
  <c r="T4" i="2"/>
  <c r="AE8" i="12" s="1"/>
  <c r="I3" i="4"/>
  <c r="L4" i="2"/>
  <c r="AE16" i="12" s="1"/>
  <c r="I3" i="5"/>
  <c r="D4" i="2"/>
  <c r="AE24" i="12" s="1"/>
  <c r="E3" i="6"/>
  <c r="L40" i="2"/>
  <c r="AE56" i="12" s="1"/>
  <c r="I3" i="10"/>
  <c r="T40" i="2"/>
  <c r="AE48" i="12" s="1"/>
  <c r="I3" i="9"/>
  <c r="S4" i="2"/>
  <c r="AE9" i="12" s="1"/>
  <c r="H3" i="4"/>
  <c r="E58" i="2"/>
  <c r="AE63" i="12" s="1"/>
  <c r="F3" i="11"/>
  <c r="M22" i="2"/>
  <c r="AE39" i="12" s="1"/>
  <c r="J3" i="8"/>
  <c r="J4" i="2"/>
  <c r="AE18" i="12" s="1"/>
  <c r="G3" i="5"/>
  <c r="F40" i="2"/>
  <c r="AE62" i="12" s="1"/>
  <c r="G3" i="11"/>
  <c r="V40" i="2"/>
  <c r="AE46" i="12" s="1"/>
  <c r="C3" i="9"/>
  <c r="N22" i="2"/>
  <c r="AE38" i="12" s="1"/>
  <c r="Y22" i="2"/>
  <c r="AE27" i="12" s="1"/>
  <c r="P4" i="2"/>
  <c r="AE12" i="12" s="1"/>
  <c r="E3" i="5"/>
  <c r="X22" i="2"/>
  <c r="AE28" i="12" s="1"/>
  <c r="H40" i="2"/>
  <c r="AE60" i="12" s="1"/>
  <c r="I3" i="11"/>
  <c r="P22" i="2"/>
  <c r="AE36" i="12" s="1"/>
  <c r="N4" i="2"/>
  <c r="AE14" i="12" s="1"/>
  <c r="C3" i="5"/>
  <c r="T22" i="2"/>
  <c r="AE32" i="12" s="1"/>
  <c r="E3" i="7"/>
  <c r="J22" i="2"/>
  <c r="AE42" i="12" s="1"/>
  <c r="G3" i="8"/>
  <c r="K4" i="2"/>
  <c r="AE17" i="12" s="1"/>
  <c r="H3" i="5"/>
  <c r="C4" i="2"/>
  <c r="AE25" i="12" s="1"/>
  <c r="D3" i="6"/>
  <c r="J3" i="10"/>
  <c r="R4" i="2"/>
  <c r="AE10" i="12" s="1"/>
  <c r="G3" i="4"/>
  <c r="B4" i="2"/>
  <c r="AE26" i="12" s="1"/>
  <c r="C3" i="6"/>
  <c r="N40" i="2"/>
  <c r="AE54" i="12" s="1"/>
  <c r="C3" i="10"/>
  <c r="Q4" i="2"/>
  <c r="AE11" i="12" s="1"/>
  <c r="F3" i="5"/>
  <c r="I4" i="2"/>
  <c r="AE19" i="12" s="1"/>
  <c r="G40" i="2"/>
  <c r="AE61" i="12" s="1"/>
  <c r="H3" i="11"/>
  <c r="O40" i="2"/>
  <c r="AE53" i="12" s="1"/>
  <c r="D3" i="10"/>
  <c r="W40" i="2"/>
  <c r="AE45" i="12" s="1"/>
  <c r="D3" i="9"/>
  <c r="O22" i="2"/>
  <c r="AE37" i="12" s="1"/>
  <c r="H4" i="2"/>
  <c r="AE20" i="12" s="1"/>
  <c r="X40" i="2"/>
  <c r="AE44" i="12" s="1"/>
  <c r="E3" i="9"/>
  <c r="W4" i="2"/>
  <c r="AE5" i="12" s="1"/>
  <c r="D3" i="4"/>
  <c r="O4" i="2"/>
  <c r="AE13" i="12" s="1"/>
  <c r="D3" i="5"/>
  <c r="G4" i="2"/>
  <c r="AE21" i="12" s="1"/>
  <c r="W22" i="2"/>
  <c r="AE29" i="12" s="1"/>
  <c r="I40" i="2"/>
  <c r="AE59" i="12" s="1"/>
  <c r="J3" i="11"/>
  <c r="Q40" i="2"/>
  <c r="AE51" i="12" s="1"/>
  <c r="F3" i="10"/>
  <c r="Y40" i="2"/>
  <c r="AE43" i="12" s="1"/>
  <c r="F3" i="9"/>
  <c r="Q22" i="2"/>
  <c r="AE35" i="12" s="1"/>
  <c r="Z60" i="12"/>
  <c r="Z61" i="12"/>
  <c r="Z59" i="12"/>
  <c r="Z66" i="12"/>
  <c r="Z65" i="12"/>
  <c r="Z64" i="12"/>
  <c r="Z63" i="12"/>
  <c r="Z62" i="12"/>
  <c r="Z52" i="12"/>
  <c r="Z51" i="12"/>
  <c r="Z58" i="12"/>
  <c r="Z57" i="12"/>
  <c r="Z53" i="12"/>
  <c r="Z56" i="12"/>
  <c r="Z55" i="12"/>
  <c r="Z54" i="12"/>
  <c r="Z42" i="12"/>
  <c r="Z41" i="12"/>
  <c r="Z40" i="12"/>
  <c r="Z38" i="12"/>
  <c r="Z37" i="12"/>
  <c r="Z35" i="12"/>
  <c r="Z36" i="12"/>
  <c r="Z50" i="12"/>
  <c r="Z47" i="12"/>
  <c r="Z49" i="12"/>
  <c r="Z48" i="12"/>
  <c r="Z46" i="12"/>
  <c r="Z45" i="12"/>
  <c r="Z44" i="12"/>
  <c r="Z21" i="12"/>
  <c r="Z20" i="12"/>
  <c r="Z19" i="12"/>
  <c r="Z26" i="12"/>
  <c r="Z25" i="12"/>
  <c r="Z24" i="12"/>
  <c r="Z23" i="12"/>
  <c r="Z22" i="12"/>
  <c r="Z13" i="12"/>
  <c r="Z12" i="12"/>
  <c r="Z11" i="12"/>
  <c r="Z18" i="12"/>
  <c r="Z17" i="12"/>
  <c r="Z14" i="12"/>
  <c r="Z16" i="12"/>
  <c r="Z15" i="12"/>
  <c r="Z6" i="12"/>
  <c r="Z5" i="12"/>
  <c r="Z4" i="12"/>
  <c r="Z10" i="12"/>
  <c r="Z9" i="12"/>
  <c r="Z8" i="12"/>
  <c r="Z7" i="12"/>
  <c r="Z29" i="12"/>
  <c r="Z30" i="12"/>
  <c r="Z28" i="12"/>
  <c r="Z27" i="12"/>
  <c r="Z33" i="12"/>
  <c r="Z32" i="12"/>
  <c r="Z34" i="12"/>
  <c r="Z31" i="12"/>
  <c r="X4" i="2"/>
  <c r="AE4" i="12" s="1"/>
  <c r="P40" i="2"/>
  <c r="AE52" i="12" s="1"/>
  <c r="AB17" i="3"/>
  <c r="AA17" i="3"/>
  <c r="Z17" i="3"/>
  <c r="Z15" i="3"/>
  <c r="Y17" i="3"/>
  <c r="Y13" i="3"/>
  <c r="AB5" i="3"/>
  <c r="AB7" i="3"/>
  <c r="AB9" i="3"/>
  <c r="AB18" i="3"/>
  <c r="AB16" i="3"/>
  <c r="AB14" i="3"/>
  <c r="AB12" i="3"/>
  <c r="AB8" i="3"/>
  <c r="AB13" i="3"/>
  <c r="AB19" i="3"/>
  <c r="Y7" i="3"/>
  <c r="Y9" i="3"/>
  <c r="AA15" i="3"/>
  <c r="Z9" i="3"/>
  <c r="Y19" i="3"/>
  <c r="Y15" i="3"/>
  <c r="Y6" i="3"/>
  <c r="AB15" i="3"/>
  <c r="AA9" i="3"/>
  <c r="Y8" i="3"/>
  <c r="Y10" i="3"/>
  <c r="AA18" i="3"/>
  <c r="AA16" i="3"/>
  <c r="AA14" i="3"/>
  <c r="AA12" i="3"/>
  <c r="Z6" i="3"/>
  <c r="Z8" i="3"/>
  <c r="Z10" i="3"/>
  <c r="Z18" i="3"/>
  <c r="Z14" i="3"/>
  <c r="Z12" i="3"/>
  <c r="AB6" i="3"/>
  <c r="Z11" i="3"/>
  <c r="AA19" i="3"/>
  <c r="AA13" i="3"/>
  <c r="Z7" i="3"/>
  <c r="Z19" i="3"/>
  <c r="Z13" i="3"/>
  <c r="AA7" i="3"/>
  <c r="AA6" i="3"/>
  <c r="AA8" i="3"/>
  <c r="AA10" i="3"/>
  <c r="Y18" i="3"/>
  <c r="Y16" i="3"/>
  <c r="Y14" i="3"/>
  <c r="Y12" i="3"/>
  <c r="AB4" i="3"/>
  <c r="Y5" i="3"/>
  <c r="Z5" i="3"/>
  <c r="AA5" i="3"/>
  <c r="AA4" i="3"/>
  <c r="Z4" i="3"/>
  <c r="Z3" i="12"/>
  <c r="Z39" i="12"/>
  <c r="Z43" i="12"/>
  <c r="N39" i="2"/>
  <c r="C2" i="10" s="1"/>
  <c r="Z16" i="3"/>
  <c r="Y5" i="2"/>
  <c r="S23" i="2"/>
  <c r="AD33" i="12" s="1"/>
  <c r="J3" i="2"/>
  <c r="G2" i="5" s="1"/>
  <c r="R3" i="2"/>
  <c r="G2" i="4" s="1"/>
  <c r="N3" i="2"/>
  <c r="C2" i="5" s="1"/>
  <c r="F39" i="2"/>
  <c r="G2" i="11" s="1"/>
  <c r="B57" i="2"/>
  <c r="C2" i="11" s="1"/>
  <c r="R39" i="2"/>
  <c r="G2" i="9" s="1"/>
  <c r="V39" i="2"/>
  <c r="C2" i="9" s="1"/>
  <c r="J21" i="2"/>
  <c r="G2" i="8" s="1"/>
  <c r="J39" i="2"/>
  <c r="G2" i="10" s="1"/>
  <c r="N21" i="2"/>
  <c r="G2" i="7" s="1"/>
  <c r="V23" i="2"/>
  <c r="R23" i="2"/>
  <c r="AD34" i="12" s="1"/>
  <c r="U23" i="2"/>
  <c r="AD31" i="12" s="1"/>
  <c r="F3" i="2"/>
  <c r="C2" i="8" s="1"/>
  <c r="B3" i="2"/>
  <c r="C2" i="6" s="1"/>
  <c r="G3" i="6" l="1"/>
  <c r="AD30" i="12"/>
  <c r="F3" i="4"/>
  <c r="AD3" i="12"/>
  <c r="V22" i="2"/>
  <c r="AE30" i="12" s="1"/>
  <c r="U22" i="2"/>
  <c r="AE31" i="12" s="1"/>
  <c r="F3" i="7"/>
  <c r="S22" i="2"/>
  <c r="AE33" i="12" s="1"/>
  <c r="D3" i="7"/>
  <c r="R22" i="2"/>
  <c r="AE34" i="12" s="1"/>
  <c r="C3" i="7"/>
  <c r="X12" i="3"/>
  <c r="AC12" i="3" s="1"/>
  <c r="X17" i="3"/>
  <c r="AC17" i="3" s="1"/>
  <c r="Y4" i="2"/>
  <c r="AE3" i="12" s="1"/>
  <c r="X19" i="3"/>
  <c r="AC19" i="3" s="1"/>
  <c r="X8" i="3"/>
  <c r="AC8" i="3" s="1"/>
  <c r="X6" i="3"/>
  <c r="AC6" i="3" s="1"/>
  <c r="X5" i="3"/>
  <c r="AC5" i="3" s="1"/>
  <c r="X14" i="3"/>
  <c r="AC14" i="3" s="1"/>
  <c r="X18" i="3"/>
  <c r="AC18" i="3" s="1"/>
  <c r="X15" i="3"/>
  <c r="AC15" i="3" s="1"/>
  <c r="X9" i="3"/>
  <c r="AC9" i="3" s="1"/>
  <c r="X7" i="3"/>
  <c r="AC7" i="3" s="1"/>
  <c r="X13" i="3"/>
  <c r="AC13" i="3" s="1"/>
  <c r="Y11" i="3"/>
  <c r="AB11" i="3"/>
  <c r="AB10" i="3"/>
  <c r="X10" i="3" s="1"/>
  <c r="AC10" i="3" s="1"/>
  <c r="AA11" i="3"/>
  <c r="Y4" i="3"/>
  <c r="R20" i="2"/>
  <c r="C1" i="7" s="1"/>
  <c r="N20" i="2"/>
  <c r="G1" i="7" s="1"/>
  <c r="R2" i="2"/>
  <c r="G1" i="4" s="1"/>
  <c r="J2" i="2"/>
  <c r="G1" i="5" s="1"/>
  <c r="V20" i="2"/>
  <c r="G1" i="6" s="1"/>
  <c r="J20" i="2"/>
  <c r="G1" i="8" s="1"/>
  <c r="N38" i="2"/>
  <c r="C1" i="10" s="1"/>
  <c r="F38" i="2"/>
  <c r="G1" i="11" s="1"/>
  <c r="V2" i="2"/>
  <c r="C1" i="4" s="1"/>
  <c r="J38" i="2"/>
  <c r="G1" i="10" s="1"/>
  <c r="V38" i="2"/>
  <c r="C1" i="9" s="1"/>
  <c r="R38" i="2"/>
  <c r="G1" i="9" s="1"/>
  <c r="B2" i="2"/>
  <c r="C1" i="6" s="1"/>
  <c r="N2" i="2"/>
  <c r="C1" i="5" s="1"/>
  <c r="B56" i="2"/>
  <c r="C1" i="11" s="1"/>
  <c r="F2" i="2"/>
  <c r="C1" i="8" s="1"/>
  <c r="X16" i="3"/>
  <c r="AC16" i="3" s="1"/>
  <c r="V21" i="2"/>
  <c r="G2" i="6" s="1"/>
  <c r="V3" i="2"/>
  <c r="C2" i="4" s="1"/>
  <c r="R21" i="2"/>
  <c r="C2" i="7" s="1"/>
  <c r="AG52" i="12" l="1"/>
  <c r="AG30" i="12"/>
  <c r="AG34" i="12"/>
  <c r="AG18" i="12"/>
  <c r="AG36" i="12"/>
  <c r="AG15" i="12"/>
  <c r="AG23" i="12"/>
  <c r="AG59" i="12"/>
  <c r="AG49" i="12"/>
  <c r="AG45" i="12"/>
  <c r="AG62" i="12"/>
  <c r="AG11" i="12"/>
  <c r="AG10" i="12"/>
  <c r="AG35" i="12"/>
  <c r="AG53" i="12"/>
  <c r="AG14" i="12"/>
  <c r="AG3" i="12"/>
  <c r="AG4" i="12"/>
  <c r="AG55" i="12"/>
  <c r="AG29" i="12"/>
  <c r="AG7" i="12"/>
  <c r="AG13" i="12"/>
  <c r="AG48" i="12"/>
  <c r="AG64" i="12"/>
  <c r="AG24" i="12"/>
  <c r="AG22" i="12"/>
  <c r="AG54" i="12"/>
  <c r="AG12" i="12"/>
  <c r="AG51" i="12"/>
  <c r="AG38" i="12"/>
  <c r="AG21" i="12"/>
  <c r="AG61" i="12"/>
  <c r="AG39" i="12"/>
  <c r="AG19" i="12"/>
  <c r="AG9" i="12"/>
  <c r="AG5" i="12"/>
  <c r="AG60" i="12"/>
  <c r="AG17" i="12"/>
  <c r="AG65" i="12"/>
  <c r="AG63" i="12"/>
  <c r="AG58" i="12"/>
  <c r="AG32" i="12"/>
  <c r="AG37" i="12"/>
  <c r="AG47" i="12"/>
  <c r="AG66" i="12"/>
  <c r="AG46" i="12"/>
  <c r="AG8" i="12"/>
  <c r="AG28" i="12"/>
  <c r="AG44" i="12"/>
  <c r="AG16" i="12"/>
  <c r="AG26" i="12"/>
  <c r="AG42" i="12"/>
  <c r="AG41" i="12"/>
  <c r="AG57" i="12"/>
  <c r="AG25" i="12"/>
  <c r="AG20" i="12"/>
  <c r="AG27" i="12"/>
  <c r="AG40" i="12"/>
  <c r="AG6" i="12"/>
  <c r="AG43" i="12"/>
  <c r="AG56" i="12"/>
  <c r="AG50" i="12"/>
  <c r="X4" i="3"/>
  <c r="AC4" i="3" s="1"/>
  <c r="AG31" i="12"/>
  <c r="AG33" i="12"/>
  <c r="X11" i="3"/>
  <c r="AC11" i="3" s="1"/>
  <c r="AF33" i="12" l="1"/>
  <c r="AF31" i="12"/>
  <c r="AF27" i="12"/>
  <c r="AF25" i="12"/>
  <c r="AF39" i="12"/>
  <c r="AF20" i="12"/>
  <c r="AF28" i="12"/>
  <c r="AF21" i="12"/>
  <c r="AF23" i="12"/>
  <c r="AF38" i="12"/>
  <c r="AF35" i="12"/>
  <c r="AF36" i="12"/>
  <c r="AF41" i="12"/>
  <c r="AF42" i="12"/>
  <c r="AF29" i="12"/>
  <c r="AF26" i="12"/>
  <c r="AF37" i="12"/>
  <c r="AF34" i="12"/>
  <c r="AF40" i="12"/>
  <c r="AF32" i="12"/>
  <c r="AF22" i="12"/>
  <c r="AF30" i="12"/>
  <c r="AF24" i="12"/>
  <c r="W19" i="3"/>
  <c r="W18" i="3"/>
  <c r="C3" i="12"/>
  <c r="C4" i="12"/>
  <c r="C12" i="12"/>
  <c r="C20" i="12"/>
  <c r="C28" i="12"/>
  <c r="C36" i="12"/>
  <c r="C44" i="12"/>
  <c r="C52" i="12"/>
  <c r="C60" i="12"/>
  <c r="C38" i="12"/>
  <c r="C62" i="12"/>
  <c r="C23" i="12"/>
  <c r="C47" i="12"/>
  <c r="C63" i="12"/>
  <c r="C32" i="12"/>
  <c r="C51" i="12"/>
  <c r="C5" i="12"/>
  <c r="C13" i="12"/>
  <c r="C21" i="12"/>
  <c r="C29" i="12"/>
  <c r="C37" i="12"/>
  <c r="C45" i="12"/>
  <c r="C53" i="12"/>
  <c r="C61" i="12"/>
  <c r="C46" i="12"/>
  <c r="C54" i="12"/>
  <c r="C31" i="12"/>
  <c r="C55" i="12"/>
  <c r="C40" i="12"/>
  <c r="C64" i="12"/>
  <c r="C43" i="12"/>
  <c r="C6" i="12"/>
  <c r="C14" i="12"/>
  <c r="C22" i="12"/>
  <c r="C30" i="12"/>
  <c r="C39" i="12"/>
  <c r="C7" i="12"/>
  <c r="C15" i="12"/>
  <c r="C56" i="12"/>
  <c r="C8" i="12"/>
  <c r="C16" i="12"/>
  <c r="C24" i="12"/>
  <c r="C48" i="12"/>
  <c r="C9" i="12"/>
  <c r="C17" i="12"/>
  <c r="C25" i="12"/>
  <c r="C33" i="12"/>
  <c r="C41" i="12"/>
  <c r="C49" i="12"/>
  <c r="C57" i="12"/>
  <c r="C65" i="12"/>
  <c r="C59" i="12"/>
  <c r="C10" i="12"/>
  <c r="C18" i="12"/>
  <c r="C26" i="12"/>
  <c r="C34" i="12"/>
  <c r="C42" i="12"/>
  <c r="C50" i="12"/>
  <c r="C58" i="12"/>
  <c r="C66" i="12"/>
  <c r="C11" i="12"/>
  <c r="C19" i="12"/>
  <c r="C27" i="12"/>
  <c r="C35" i="12"/>
  <c r="W10" i="3"/>
  <c r="W4" i="3"/>
  <c r="AF63" i="12"/>
  <c r="AF59" i="12"/>
  <c r="AF8" i="12"/>
  <c r="AF65" i="12"/>
  <c r="AF48" i="12"/>
  <c r="AF53" i="12"/>
  <c r="AF61" i="12"/>
  <c r="AF14" i="12"/>
  <c r="AF50" i="12"/>
  <c r="AF57" i="12"/>
  <c r="AF46" i="12"/>
  <c r="AF17" i="12"/>
  <c r="AF13" i="12"/>
  <c r="AF15" i="12"/>
  <c r="AF56" i="12"/>
  <c r="AF66" i="12"/>
  <c r="AF60" i="12"/>
  <c r="AF51" i="12"/>
  <c r="AF7" i="12"/>
  <c r="AF10" i="12"/>
  <c r="AF43" i="12"/>
  <c r="AF47" i="12"/>
  <c r="AF5" i="12"/>
  <c r="AF12" i="12"/>
  <c r="AF11" i="12"/>
  <c r="AF18" i="12"/>
  <c r="AF64" i="12"/>
  <c r="AF6" i="12"/>
  <c r="AF9" i="12"/>
  <c r="AF54" i="12"/>
  <c r="AF55" i="12"/>
  <c r="AF62" i="12"/>
  <c r="AF16" i="12"/>
  <c r="AF19" i="12"/>
  <c r="AF4" i="12"/>
  <c r="AF45" i="12"/>
  <c r="AF44" i="12"/>
  <c r="AF58" i="12"/>
  <c r="AF3" i="12"/>
  <c r="AF49" i="12"/>
  <c r="AF52" i="12"/>
  <c r="W16" i="3"/>
  <c r="W7" i="3"/>
  <c r="W5" i="3"/>
  <c r="W6" i="3"/>
  <c r="W9" i="3"/>
  <c r="W12" i="3"/>
  <c r="W8" i="3"/>
  <c r="W13" i="3"/>
  <c r="W17" i="3"/>
  <c r="W14" i="3"/>
  <c r="W15" i="3"/>
  <c r="W11" i="3"/>
  <c r="V4" i="3" l="1"/>
  <c r="C18" i="3"/>
  <c r="V19" i="3"/>
  <c r="V17" i="3"/>
  <c r="V18" i="3"/>
  <c r="D3" i="12"/>
  <c r="G3" i="12"/>
  <c r="I3" i="12" s="1"/>
  <c r="F3" i="12"/>
  <c r="H3" i="12" s="1"/>
  <c r="E3" i="12"/>
  <c r="G52" i="12"/>
  <c r="F52" i="12"/>
  <c r="H52" i="12" s="1"/>
  <c r="E52" i="12"/>
  <c r="D52" i="12"/>
  <c r="E54" i="12"/>
  <c r="E47" i="12"/>
  <c r="E32" i="12"/>
  <c r="G13" i="12"/>
  <c r="F13" i="12"/>
  <c r="H13" i="12" s="1"/>
  <c r="G60" i="12"/>
  <c r="F60" i="12"/>
  <c r="H60" i="12" s="1"/>
  <c r="E60" i="12"/>
  <c r="D60" i="12"/>
  <c r="D6" i="12"/>
  <c r="E63" i="12"/>
  <c r="E56" i="12"/>
  <c r="G21" i="12"/>
  <c r="F21" i="12"/>
  <c r="H21" i="12" s="1"/>
  <c r="E21" i="12"/>
  <c r="D21" i="12"/>
  <c r="F38" i="12"/>
  <c r="H38" i="12" s="1"/>
  <c r="D54" i="12"/>
  <c r="F48" i="12"/>
  <c r="H48" i="12" s="1"/>
  <c r="G30" i="12"/>
  <c r="D23" i="12"/>
  <c r="G47" i="12"/>
  <c r="F63" i="12"/>
  <c r="H63" i="12" s="1"/>
  <c r="G48" i="12"/>
  <c r="D32" i="12"/>
  <c r="G65" i="12"/>
  <c r="G4" i="12"/>
  <c r="F4" i="12"/>
  <c r="H4" i="12" s="1"/>
  <c r="E4" i="12"/>
  <c r="D4" i="12"/>
  <c r="G62" i="12"/>
  <c r="D30" i="12"/>
  <c r="D15" i="12"/>
  <c r="D8" i="12"/>
  <c r="G29" i="12"/>
  <c r="F29" i="12"/>
  <c r="H29" i="12" s="1"/>
  <c r="E29" i="12"/>
  <c r="D29" i="12"/>
  <c r="F54" i="12"/>
  <c r="H54" i="12" s="1"/>
  <c r="F55" i="12"/>
  <c r="H55" i="12" s="1"/>
  <c r="E8" i="12"/>
  <c r="G38" i="12"/>
  <c r="F56" i="12"/>
  <c r="H56" i="12" s="1"/>
  <c r="G55" i="12"/>
  <c r="E24" i="12"/>
  <c r="G56" i="12"/>
  <c r="G9" i="12"/>
  <c r="F9" i="12"/>
  <c r="H9" i="12" s="1"/>
  <c r="E9" i="12"/>
  <c r="G50" i="12"/>
  <c r="F50" i="12"/>
  <c r="H50" i="12" s="1"/>
  <c r="E50" i="12"/>
  <c r="D50" i="12"/>
  <c r="G51" i="12"/>
  <c r="F51" i="12"/>
  <c r="H51" i="12" s="1"/>
  <c r="E51" i="12"/>
  <c r="E65" i="12"/>
  <c r="E57" i="12"/>
  <c r="D46" i="12"/>
  <c r="D31" i="12"/>
  <c r="G37" i="12"/>
  <c r="F37" i="12"/>
  <c r="H37" i="12" s="1"/>
  <c r="E37" i="12"/>
  <c r="E14" i="12"/>
  <c r="E23" i="12"/>
  <c r="E40" i="12"/>
  <c r="G46" i="12"/>
  <c r="G63" i="12"/>
  <c r="D48" i="12"/>
  <c r="G64" i="12"/>
  <c r="G17" i="12"/>
  <c r="E17" i="12"/>
  <c r="G58" i="12"/>
  <c r="F58" i="12"/>
  <c r="H58" i="12" s="1"/>
  <c r="E58" i="12"/>
  <c r="G59" i="12"/>
  <c r="F59" i="12"/>
  <c r="H59" i="12" s="1"/>
  <c r="E59" i="12"/>
  <c r="E41" i="12"/>
  <c r="F45" i="12"/>
  <c r="H45" i="12" s="1"/>
  <c r="E45" i="12"/>
  <c r="D45" i="12"/>
  <c r="E48" i="12"/>
  <c r="G54" i="12"/>
  <c r="G7" i="12"/>
  <c r="G8" i="12"/>
  <c r="G25" i="12"/>
  <c r="F25" i="12"/>
  <c r="H25" i="12" s="1"/>
  <c r="E25" i="12"/>
  <c r="E66" i="12"/>
  <c r="D66" i="12"/>
  <c r="D9" i="12"/>
  <c r="F44" i="12"/>
  <c r="H44" i="12" s="1"/>
  <c r="E38" i="12"/>
  <c r="F5" i="12"/>
  <c r="H5" i="12" s="1"/>
  <c r="F6" i="12"/>
  <c r="H6" i="12" s="1"/>
  <c r="G14" i="12"/>
  <c r="F31" i="12"/>
  <c r="H31" i="12" s="1"/>
  <c r="G49" i="12"/>
  <c r="G26" i="12"/>
  <c r="E26" i="12"/>
  <c r="G27" i="12"/>
  <c r="E27" i="12"/>
  <c r="G12" i="12"/>
  <c r="F12" i="12"/>
  <c r="H12" i="12" s="1"/>
  <c r="E12" i="12"/>
  <c r="D12" i="12"/>
  <c r="F14" i="12"/>
  <c r="H14" i="12" s="1"/>
  <c r="D24" i="12"/>
  <c r="D37" i="12"/>
  <c r="D16" i="12"/>
  <c r="F17" i="12"/>
  <c r="H17" i="12" s="1"/>
  <c r="D58" i="12"/>
  <c r="D41" i="12"/>
  <c r="E30" i="12"/>
  <c r="F7" i="12"/>
  <c r="H7" i="12" s="1"/>
  <c r="G66" i="12"/>
  <c r="G5" i="12"/>
  <c r="G32" i="12"/>
  <c r="F27" i="12"/>
  <c r="H27" i="12" s="1"/>
  <c r="G20" i="12"/>
  <c r="F20" i="12"/>
  <c r="H20" i="12" s="1"/>
  <c r="E20" i="12"/>
  <c r="D20" i="12"/>
  <c r="F46" i="12"/>
  <c r="H46" i="12" s="1"/>
  <c r="D62" i="12"/>
  <c r="D47" i="12"/>
  <c r="D40" i="12"/>
  <c r="G45" i="12"/>
  <c r="E39" i="12"/>
  <c r="F8" i="12"/>
  <c r="H8" i="12" s="1"/>
  <c r="F66" i="12"/>
  <c r="H66" i="12" s="1"/>
  <c r="D33" i="12"/>
  <c r="D44" i="12"/>
  <c r="D14" i="12"/>
  <c r="D26" i="12"/>
  <c r="G28" i="12"/>
  <c r="F28" i="12"/>
  <c r="H28" i="12" s="1"/>
  <c r="E28" i="12"/>
  <c r="D28" i="12"/>
  <c r="F62" i="12"/>
  <c r="H62" i="12" s="1"/>
  <c r="F47" i="12"/>
  <c r="H47" i="12" s="1"/>
  <c r="D63" i="12"/>
  <c r="D56" i="12"/>
  <c r="G53" i="12"/>
  <c r="F53" i="12"/>
  <c r="H53" i="12" s="1"/>
  <c r="E53" i="12"/>
  <c r="D53" i="12"/>
  <c r="E46" i="12"/>
  <c r="E55" i="12"/>
  <c r="E64" i="12"/>
  <c r="F22" i="12"/>
  <c r="H22" i="12" s="1"/>
  <c r="G15" i="12"/>
  <c r="F15" i="12"/>
  <c r="H15" i="12" s="1"/>
  <c r="G16" i="12"/>
  <c r="F16" i="12"/>
  <c r="H16" i="12" s="1"/>
  <c r="G33" i="12"/>
  <c r="F33" i="12"/>
  <c r="H33" i="12" s="1"/>
  <c r="G10" i="12"/>
  <c r="F10" i="12"/>
  <c r="H10" i="12" s="1"/>
  <c r="E10" i="12"/>
  <c r="D10" i="12"/>
  <c r="G11" i="12"/>
  <c r="F11" i="12"/>
  <c r="H11" i="12" s="1"/>
  <c r="E11" i="12"/>
  <c r="D11" i="12"/>
  <c r="D65" i="12"/>
  <c r="D49" i="12"/>
  <c r="E62" i="12"/>
  <c r="D7" i="12"/>
  <c r="E6" i="12"/>
  <c r="F23" i="12"/>
  <c r="H23" i="12" s="1"/>
  <c r="F24" i="12"/>
  <c r="H24" i="12" s="1"/>
  <c r="G18" i="12"/>
  <c r="E18" i="12"/>
  <c r="E44" i="12"/>
  <c r="F64" i="12"/>
  <c r="H64" i="12" s="1"/>
  <c r="D5" i="12"/>
  <c r="G36" i="12"/>
  <c r="F36" i="12"/>
  <c r="H36" i="12" s="1"/>
  <c r="E36" i="12"/>
  <c r="D36" i="12"/>
  <c r="E22" i="12"/>
  <c r="E15" i="12"/>
  <c r="F40" i="12"/>
  <c r="H40" i="12" s="1"/>
  <c r="D64" i="12"/>
  <c r="G61" i="12"/>
  <c r="F61" i="12"/>
  <c r="H61" i="12" s="1"/>
  <c r="E61" i="12"/>
  <c r="D61" i="12"/>
  <c r="G6" i="12"/>
  <c r="G23" i="12"/>
  <c r="G24" i="12"/>
  <c r="G41" i="12"/>
  <c r="F41" i="12"/>
  <c r="H41" i="12" s="1"/>
  <c r="F18" i="12"/>
  <c r="H18" i="12" s="1"/>
  <c r="D18" i="12"/>
  <c r="G19" i="12"/>
  <c r="F19" i="12"/>
  <c r="H19" i="12" s="1"/>
  <c r="E19" i="12"/>
  <c r="D19" i="12"/>
  <c r="D35" i="12"/>
  <c r="D17" i="12"/>
  <c r="G44" i="12"/>
  <c r="E31" i="12"/>
  <c r="E5" i="12"/>
  <c r="D22" i="12"/>
  <c r="D39" i="12"/>
  <c r="G31" i="12"/>
  <c r="F32" i="12"/>
  <c r="H32" i="12" s="1"/>
  <c r="F49" i="12"/>
  <c r="H49" i="12" s="1"/>
  <c r="F26" i="12"/>
  <c r="H26" i="12" s="1"/>
  <c r="G39" i="12"/>
  <c r="G42" i="12"/>
  <c r="G43" i="12"/>
  <c r="D43" i="12"/>
  <c r="G40" i="12"/>
  <c r="F43" i="12"/>
  <c r="H43" i="12" s="1"/>
  <c r="E35" i="12"/>
  <c r="E42" i="12"/>
  <c r="D25" i="12"/>
  <c r="D59" i="12"/>
  <c r="E13" i="12"/>
  <c r="F39" i="12"/>
  <c r="H39" i="12" s="1"/>
  <c r="F34" i="12"/>
  <c r="H34" i="12" s="1"/>
  <c r="F35" i="12"/>
  <c r="H35" i="12" s="1"/>
  <c r="E49" i="12"/>
  <c r="F42" i="12"/>
  <c r="H42" i="12" s="1"/>
  <c r="E34" i="12"/>
  <c r="D51" i="12"/>
  <c r="E43" i="12"/>
  <c r="D42" i="12"/>
  <c r="D13" i="12"/>
  <c r="G34" i="12"/>
  <c r="F30" i="12"/>
  <c r="H30" i="12" s="1"/>
  <c r="E16" i="12"/>
  <c r="G35" i="12"/>
  <c r="D38" i="12"/>
  <c r="G57" i="12"/>
  <c r="E7" i="12"/>
  <c r="D55" i="12"/>
  <c r="F57" i="12"/>
  <c r="H57" i="12" s="1"/>
  <c r="D34" i="12"/>
  <c r="E33" i="12"/>
  <c r="D57" i="12"/>
  <c r="G22" i="12"/>
  <c r="F65" i="12"/>
  <c r="H65" i="12" s="1"/>
  <c r="D27" i="12"/>
  <c r="V5" i="3"/>
  <c r="C5" i="3"/>
  <c r="C17" i="3"/>
  <c r="C9" i="3"/>
  <c r="C8" i="3"/>
  <c r="C19" i="3"/>
  <c r="C7" i="3"/>
  <c r="C6" i="3"/>
  <c r="C15" i="3"/>
  <c r="C11" i="3"/>
  <c r="C10" i="3"/>
  <c r="C4" i="3"/>
  <c r="C13" i="3"/>
  <c r="C12" i="3"/>
  <c r="C16" i="3"/>
  <c r="C14" i="3"/>
  <c r="V11" i="3"/>
  <c r="V6" i="3"/>
  <c r="V9" i="3"/>
  <c r="V10" i="3"/>
  <c r="V7" i="3"/>
  <c r="V13" i="3"/>
  <c r="V12" i="3"/>
  <c r="V14" i="3"/>
  <c r="V8" i="3"/>
  <c r="V15" i="3"/>
  <c r="V16" i="3"/>
  <c r="B4" i="3" l="1"/>
  <c r="D4" i="3" s="1"/>
  <c r="E4" i="3" s="1"/>
  <c r="I28" i="12"/>
  <c r="J28" i="12"/>
  <c r="J59" i="12"/>
  <c r="I59" i="12"/>
  <c r="I55" i="12"/>
  <c r="J55" i="12"/>
  <c r="I30" i="12"/>
  <c r="J30" i="12"/>
  <c r="I29" i="12"/>
  <c r="J29" i="12"/>
  <c r="I4" i="12"/>
  <c r="J4" i="12"/>
  <c r="J24" i="12"/>
  <c r="I24" i="12"/>
  <c r="J13" i="12"/>
  <c r="I13" i="12"/>
  <c r="J57" i="12"/>
  <c r="I57" i="12"/>
  <c r="I23" i="12"/>
  <c r="J23" i="12"/>
  <c r="I14" i="12"/>
  <c r="J14" i="12"/>
  <c r="J46" i="12"/>
  <c r="I46" i="12"/>
  <c r="I22" i="12"/>
  <c r="J22" i="12"/>
  <c r="J43" i="12"/>
  <c r="I43" i="12"/>
  <c r="I6" i="12"/>
  <c r="J6" i="12"/>
  <c r="I10" i="12"/>
  <c r="J10" i="12"/>
  <c r="J32" i="12"/>
  <c r="I32" i="12"/>
  <c r="J12" i="12"/>
  <c r="I12" i="12"/>
  <c r="I50" i="12"/>
  <c r="J50" i="12"/>
  <c r="J38" i="12"/>
  <c r="I38" i="12"/>
  <c r="I65" i="12"/>
  <c r="J65" i="12"/>
  <c r="I40" i="12"/>
  <c r="J40" i="12"/>
  <c r="I15" i="12"/>
  <c r="J15" i="12"/>
  <c r="I54" i="12"/>
  <c r="J54" i="12"/>
  <c r="I63" i="12"/>
  <c r="J63" i="12"/>
  <c r="I35" i="12"/>
  <c r="J35" i="12"/>
  <c r="I42" i="12"/>
  <c r="J42" i="12"/>
  <c r="I19" i="12"/>
  <c r="J19" i="12"/>
  <c r="J18" i="12"/>
  <c r="I18" i="12"/>
  <c r="I5" i="12"/>
  <c r="J5" i="12"/>
  <c r="I58" i="12"/>
  <c r="J58" i="12"/>
  <c r="I31" i="12"/>
  <c r="J31" i="12"/>
  <c r="I33" i="12"/>
  <c r="J33" i="12"/>
  <c r="J27" i="12"/>
  <c r="I27" i="12"/>
  <c r="I48" i="12"/>
  <c r="J48" i="12"/>
  <c r="I39" i="12"/>
  <c r="J39" i="12"/>
  <c r="J44" i="12"/>
  <c r="I44" i="12"/>
  <c r="I66" i="12"/>
  <c r="J66" i="12"/>
  <c r="J25" i="12"/>
  <c r="I25" i="12"/>
  <c r="I17" i="12"/>
  <c r="J17" i="12"/>
  <c r="I9" i="12"/>
  <c r="J9" i="12"/>
  <c r="I62" i="12"/>
  <c r="J62" i="12"/>
  <c r="I45" i="12"/>
  <c r="J45" i="12"/>
  <c r="I26" i="12"/>
  <c r="J26" i="12"/>
  <c r="J51" i="12"/>
  <c r="I51" i="12"/>
  <c r="I56" i="12"/>
  <c r="J56" i="12"/>
  <c r="J47" i="12"/>
  <c r="I47" i="12"/>
  <c r="I60" i="12"/>
  <c r="J60" i="12"/>
  <c r="I53" i="12"/>
  <c r="J53" i="12"/>
  <c r="I20" i="12"/>
  <c r="J20" i="12"/>
  <c r="J3" i="12"/>
  <c r="I34" i="12"/>
  <c r="J34" i="12"/>
  <c r="J61" i="12"/>
  <c r="I61" i="12"/>
  <c r="I36" i="12"/>
  <c r="J36" i="12"/>
  <c r="J11" i="12"/>
  <c r="I11" i="12"/>
  <c r="J16" i="12"/>
  <c r="I16" i="12"/>
  <c r="J8" i="12"/>
  <c r="I8" i="12"/>
  <c r="J64" i="12"/>
  <c r="I64" i="12"/>
  <c r="I41" i="12"/>
  <c r="J41" i="12"/>
  <c r="I49" i="12"/>
  <c r="J49" i="12"/>
  <c r="I7" i="12"/>
  <c r="J7" i="12"/>
  <c r="I37" i="12"/>
  <c r="J37" i="12"/>
  <c r="I21" i="12"/>
  <c r="J21" i="12"/>
  <c r="I52" i="12"/>
  <c r="J52" i="12"/>
  <c r="F4" i="3" l="1"/>
  <c r="O35" i="12"/>
  <c r="O60" i="12"/>
  <c r="Q60" i="12" s="1"/>
  <c r="O30" i="12"/>
  <c r="N30" i="12" s="1"/>
  <c r="O24" i="12"/>
  <c r="N24" i="12" s="1"/>
  <c r="O65" i="12"/>
  <c r="O46" i="12"/>
  <c r="O48" i="12"/>
  <c r="O56" i="12"/>
  <c r="O58" i="12"/>
  <c r="O38" i="12"/>
  <c r="O41" i="12"/>
  <c r="O37" i="12"/>
  <c r="O49" i="12"/>
  <c r="O55" i="12"/>
  <c r="O31" i="12"/>
  <c r="O40" i="12"/>
  <c r="O53" i="12"/>
  <c r="O27" i="12"/>
  <c r="O39" i="12"/>
  <c r="O34" i="12"/>
  <c r="O42" i="12"/>
  <c r="O57" i="12"/>
  <c r="O47" i="12"/>
  <c r="O29" i="12"/>
  <c r="O54" i="12"/>
  <c r="O59" i="12"/>
  <c r="O51" i="12"/>
  <c r="V23" i="12"/>
  <c r="V32" i="12"/>
  <c r="V40" i="12"/>
  <c r="V48" i="12"/>
  <c r="V56" i="12"/>
  <c r="V64" i="12"/>
  <c r="V65" i="12"/>
  <c r="V52" i="12"/>
  <c r="V35" i="12"/>
  <c r="V43" i="12"/>
  <c r="V51" i="12"/>
  <c r="V59" i="12"/>
  <c r="V62" i="12"/>
  <c r="V24" i="12"/>
  <c r="V27" i="12"/>
  <c r="V30" i="12"/>
  <c r="V38" i="12"/>
  <c r="V46" i="12"/>
  <c r="V54" i="12"/>
  <c r="V33" i="12"/>
  <c r="V41" i="12"/>
  <c r="V49" i="12"/>
  <c r="V57" i="12"/>
  <c r="V60" i="12"/>
  <c r="V28" i="12"/>
  <c r="V36" i="12"/>
  <c r="V44" i="12"/>
  <c r="V25" i="12"/>
  <c r="V31" i="12"/>
  <c r="V39" i="12"/>
  <c r="V47" i="12"/>
  <c r="V55" i="12"/>
  <c r="V63" i="12"/>
  <c r="V34" i="12"/>
  <c r="V42" i="12"/>
  <c r="V50" i="12"/>
  <c r="V58" i="12"/>
  <c r="V66" i="12"/>
  <c r="V26" i="12"/>
  <c r="V29" i="12"/>
  <c r="V37" i="12"/>
  <c r="V45" i="12"/>
  <c r="V53" i="12"/>
  <c r="V61" i="12"/>
  <c r="V3" i="12"/>
  <c r="O44" i="12"/>
  <c r="O28" i="12"/>
  <c r="O43" i="12"/>
  <c r="O23" i="12"/>
  <c r="O63" i="12"/>
  <c r="O33" i="12"/>
  <c r="O32" i="12"/>
  <c r="O3" i="12"/>
  <c r="P3" i="12" s="1"/>
  <c r="O52" i="12"/>
  <c r="O25" i="12"/>
  <c r="O45" i="12"/>
  <c r="O50" i="12"/>
  <c r="O36" i="12"/>
  <c r="O26" i="12"/>
  <c r="O62" i="12"/>
  <c r="O66" i="12"/>
  <c r="O64" i="12"/>
  <c r="O61" i="12"/>
  <c r="V20" i="12"/>
  <c r="V10" i="12"/>
  <c r="V9" i="12"/>
  <c r="V18" i="12"/>
  <c r="V22" i="12"/>
  <c r="V14" i="12"/>
  <c r="V13" i="12"/>
  <c r="V16" i="12"/>
  <c r="V6" i="12"/>
  <c r="V4" i="12"/>
  <c r="T4" i="12" s="1"/>
  <c r="V17" i="12"/>
  <c r="V7" i="12"/>
  <c r="V8" i="12"/>
  <c r="V21" i="12"/>
  <c r="V11" i="12"/>
  <c r="V12" i="12"/>
  <c r="V5" i="12"/>
  <c r="V15" i="12"/>
  <c r="V19" i="12"/>
  <c r="O15" i="12"/>
  <c r="O11" i="12"/>
  <c r="O12" i="12"/>
  <c r="O8" i="12"/>
  <c r="O19" i="12"/>
  <c r="O14" i="12"/>
  <c r="O5" i="12"/>
  <c r="O22" i="12"/>
  <c r="O4" i="12"/>
  <c r="N4" i="12" s="1"/>
  <c r="O20" i="12"/>
  <c r="O16" i="12"/>
  <c r="O9" i="12"/>
  <c r="O13" i="12"/>
  <c r="O17" i="12"/>
  <c r="O7" i="12"/>
  <c r="O21" i="12"/>
  <c r="O10" i="12"/>
  <c r="O6" i="12"/>
  <c r="O18" i="12"/>
  <c r="B7" i="3"/>
  <c r="D7" i="3" s="1"/>
  <c r="B18" i="3"/>
  <c r="D18" i="3" s="1"/>
  <c r="B8" i="3"/>
  <c r="D8" i="3" s="1"/>
  <c r="B16" i="3"/>
  <c r="D16" i="3" s="1"/>
  <c r="B5" i="3"/>
  <c r="D5" i="3" s="1"/>
  <c r="B11" i="3"/>
  <c r="D11" i="3" s="1"/>
  <c r="B17" i="3"/>
  <c r="D17" i="3" s="1"/>
  <c r="B10" i="3"/>
  <c r="D10" i="3" s="1"/>
  <c r="B6" i="3"/>
  <c r="B12" i="3"/>
  <c r="D12" i="3" s="1"/>
  <c r="B13" i="3"/>
  <c r="D13" i="3" s="1"/>
  <c r="B19" i="3"/>
  <c r="D19" i="3" s="1"/>
  <c r="B15" i="3"/>
  <c r="D15" i="3" s="1"/>
  <c r="B14" i="3"/>
  <c r="D14" i="3" s="1"/>
  <c r="B9" i="3"/>
  <c r="D9" i="3" s="1"/>
  <c r="Q35" i="12" l="1"/>
  <c r="E14" i="3"/>
  <c r="F14" i="3"/>
  <c r="E11" i="3"/>
  <c r="F11" i="3"/>
  <c r="E15" i="3"/>
  <c r="F15" i="3"/>
  <c r="F5" i="3"/>
  <c r="E5" i="3"/>
  <c r="E17" i="3"/>
  <c r="F17" i="3"/>
  <c r="E12" i="3"/>
  <c r="F12" i="3"/>
  <c r="E19" i="3"/>
  <c r="F19" i="3"/>
  <c r="E13" i="3"/>
  <c r="F13" i="3"/>
  <c r="E7" i="3"/>
  <c r="F7" i="3"/>
  <c r="E9" i="3"/>
  <c r="F9" i="3"/>
  <c r="E16" i="3"/>
  <c r="F16" i="3"/>
  <c r="E8" i="3"/>
  <c r="F8" i="3"/>
  <c r="E18" i="3"/>
  <c r="F18" i="3"/>
  <c r="E10" i="3"/>
  <c r="F10" i="3"/>
  <c r="M60" i="12"/>
  <c r="P60" i="12"/>
  <c r="L60" i="12"/>
  <c r="N60" i="12"/>
  <c r="Q24" i="12"/>
  <c r="N35" i="12"/>
  <c r="P35" i="12"/>
  <c r="M35" i="12"/>
  <c r="P30" i="12"/>
  <c r="M30" i="12"/>
  <c r="Q30" i="12"/>
  <c r="P24" i="12"/>
  <c r="M24" i="12"/>
  <c r="P64" i="12"/>
  <c r="N64" i="12"/>
  <c r="Q64" i="12"/>
  <c r="M64" i="12"/>
  <c r="L64" i="12"/>
  <c r="P52" i="12"/>
  <c r="M52" i="12"/>
  <c r="N52" i="12"/>
  <c r="Q52" i="12"/>
  <c r="L52" i="12"/>
  <c r="N44" i="12"/>
  <c r="L44" i="12"/>
  <c r="M44" i="12"/>
  <c r="Q44" i="12"/>
  <c r="P44" i="12"/>
  <c r="U66" i="12"/>
  <c r="X66" i="12"/>
  <c r="S66" i="12"/>
  <c r="T66" i="12"/>
  <c r="W66" i="12"/>
  <c r="S39" i="12"/>
  <c r="T39" i="12"/>
  <c r="U39" i="12"/>
  <c r="X39" i="12"/>
  <c r="W39" i="12"/>
  <c r="W49" i="12"/>
  <c r="U49" i="12"/>
  <c r="S49" i="12"/>
  <c r="X49" i="12"/>
  <c r="T49" i="12"/>
  <c r="U24" i="12"/>
  <c r="T24" i="12"/>
  <c r="W24" i="12"/>
  <c r="X24" i="12"/>
  <c r="U64" i="12"/>
  <c r="W64" i="12"/>
  <c r="X64" i="12"/>
  <c r="S64" i="12"/>
  <c r="T64" i="12"/>
  <c r="L54" i="12"/>
  <c r="N54" i="12"/>
  <c r="Q54" i="12"/>
  <c r="M54" i="12"/>
  <c r="P54" i="12"/>
  <c r="P53" i="12"/>
  <c r="Q53" i="12"/>
  <c r="N53" i="12"/>
  <c r="L53" i="12"/>
  <c r="M53" i="12"/>
  <c r="L58" i="12"/>
  <c r="P58" i="12"/>
  <c r="Q58" i="12"/>
  <c r="M58" i="12"/>
  <c r="N58" i="12"/>
  <c r="L66" i="12"/>
  <c r="M66" i="12"/>
  <c r="N66" i="12"/>
  <c r="P66" i="12"/>
  <c r="Q66" i="12"/>
  <c r="N3" i="12"/>
  <c r="M3" i="12"/>
  <c r="U3" i="12"/>
  <c r="T3" i="12"/>
  <c r="W3" i="12"/>
  <c r="U58" i="12"/>
  <c r="X58" i="12"/>
  <c r="S58" i="12"/>
  <c r="T58" i="12"/>
  <c r="W58" i="12"/>
  <c r="S31" i="12"/>
  <c r="X31" i="12"/>
  <c r="T31" i="12"/>
  <c r="W31" i="12"/>
  <c r="U31" i="12"/>
  <c r="W41" i="12"/>
  <c r="X41" i="12"/>
  <c r="U41" i="12"/>
  <c r="T41" i="12"/>
  <c r="S41" i="12"/>
  <c r="U62" i="12"/>
  <c r="S62" i="12"/>
  <c r="T62" i="12"/>
  <c r="W62" i="12"/>
  <c r="X62" i="12"/>
  <c r="U56" i="12"/>
  <c r="W56" i="12"/>
  <c r="X56" i="12"/>
  <c r="S56" i="12"/>
  <c r="T56" i="12"/>
  <c r="P29" i="12"/>
  <c r="M29" i="12"/>
  <c r="Q29" i="12"/>
  <c r="N29" i="12"/>
  <c r="N40" i="12"/>
  <c r="M40" i="12"/>
  <c r="L40" i="12"/>
  <c r="P40" i="12"/>
  <c r="Q40" i="12"/>
  <c r="P56" i="12"/>
  <c r="M56" i="12"/>
  <c r="N56" i="12"/>
  <c r="Q56" i="12"/>
  <c r="L56" i="12"/>
  <c r="W61" i="12"/>
  <c r="X61" i="12"/>
  <c r="T61" i="12"/>
  <c r="S61" i="12"/>
  <c r="U61" i="12"/>
  <c r="Q31" i="12"/>
  <c r="M31" i="12"/>
  <c r="P31" i="12"/>
  <c r="N31" i="12"/>
  <c r="N48" i="12"/>
  <c r="L48" i="12"/>
  <c r="M48" i="12"/>
  <c r="Q48" i="12"/>
  <c r="P48" i="12"/>
  <c r="L46" i="12"/>
  <c r="Q46" i="12"/>
  <c r="M46" i="12"/>
  <c r="N46" i="12"/>
  <c r="P46" i="12"/>
  <c r="U46" i="12"/>
  <c r="S46" i="12"/>
  <c r="T46" i="12"/>
  <c r="W46" i="12"/>
  <c r="X46" i="12"/>
  <c r="L65" i="12"/>
  <c r="Q65" i="12"/>
  <c r="P65" i="12"/>
  <c r="M65" i="12"/>
  <c r="N65" i="12"/>
  <c r="W25" i="12"/>
  <c r="T25" i="12"/>
  <c r="X25" i="12"/>
  <c r="U25" i="12"/>
  <c r="S59" i="12"/>
  <c r="U59" i="12"/>
  <c r="T59" i="12"/>
  <c r="X59" i="12"/>
  <c r="W59" i="12"/>
  <c r="P33" i="12"/>
  <c r="Q33" i="12"/>
  <c r="M33" i="12"/>
  <c r="N33" i="12"/>
  <c r="U42" i="12"/>
  <c r="X42" i="12"/>
  <c r="S42" i="12"/>
  <c r="T42" i="12"/>
  <c r="W42" i="12"/>
  <c r="U54" i="12"/>
  <c r="S54" i="12"/>
  <c r="T54" i="12"/>
  <c r="W54" i="12"/>
  <c r="X54" i="12"/>
  <c r="U40" i="12"/>
  <c r="W40" i="12"/>
  <c r="X40" i="12"/>
  <c r="S40" i="12"/>
  <c r="T40" i="12"/>
  <c r="N55" i="12"/>
  <c r="P55" i="12"/>
  <c r="L55" i="12"/>
  <c r="M55" i="12"/>
  <c r="Q55" i="12"/>
  <c r="N36" i="12"/>
  <c r="M36" i="12"/>
  <c r="Q36" i="12"/>
  <c r="P36" i="12"/>
  <c r="N63" i="12"/>
  <c r="L63" i="12"/>
  <c r="M63" i="12"/>
  <c r="P63" i="12"/>
  <c r="Q63" i="12"/>
  <c r="W45" i="12"/>
  <c r="X45" i="12"/>
  <c r="U45" i="12"/>
  <c r="T45" i="12"/>
  <c r="S45" i="12"/>
  <c r="U34" i="12"/>
  <c r="X34" i="12"/>
  <c r="S34" i="12"/>
  <c r="T34" i="12"/>
  <c r="W34" i="12"/>
  <c r="U36" i="12"/>
  <c r="S36" i="12"/>
  <c r="T36" i="12"/>
  <c r="W36" i="12"/>
  <c r="X36" i="12"/>
  <c r="S43" i="12"/>
  <c r="T43" i="12"/>
  <c r="U43" i="12"/>
  <c r="X43" i="12"/>
  <c r="W43" i="12"/>
  <c r="U32" i="12"/>
  <c r="W32" i="12"/>
  <c r="X32" i="12"/>
  <c r="S32" i="12"/>
  <c r="T32" i="12"/>
  <c r="L42" i="12"/>
  <c r="P42" i="12"/>
  <c r="Q42" i="12"/>
  <c r="M42" i="12"/>
  <c r="N42" i="12"/>
  <c r="P49" i="12"/>
  <c r="L49" i="12"/>
  <c r="Q49" i="12"/>
  <c r="M49" i="12"/>
  <c r="N49" i="12"/>
  <c r="L50" i="12"/>
  <c r="P50" i="12"/>
  <c r="Q50" i="12"/>
  <c r="M50" i="12"/>
  <c r="N50" i="12"/>
  <c r="P23" i="12"/>
  <c r="M23" i="12"/>
  <c r="N23" i="12"/>
  <c r="Q23" i="12"/>
  <c r="W37" i="12"/>
  <c r="X37" i="12"/>
  <c r="U37" i="12"/>
  <c r="T37" i="12"/>
  <c r="S37" i="12"/>
  <c r="S63" i="12"/>
  <c r="X63" i="12"/>
  <c r="W63" i="12"/>
  <c r="U63" i="12"/>
  <c r="T63" i="12"/>
  <c r="U28" i="12"/>
  <c r="T28" i="12"/>
  <c r="W28" i="12"/>
  <c r="X28" i="12"/>
  <c r="U38" i="12"/>
  <c r="S38" i="12"/>
  <c r="T38" i="12"/>
  <c r="W38" i="12"/>
  <c r="X38" i="12"/>
  <c r="S35" i="12"/>
  <c r="W35" i="12"/>
  <c r="T35" i="12"/>
  <c r="X35" i="12"/>
  <c r="U35" i="12"/>
  <c r="X23" i="12"/>
  <c r="W23" i="12"/>
  <c r="U23" i="12"/>
  <c r="T23" i="12"/>
  <c r="Q34" i="12"/>
  <c r="M34" i="12"/>
  <c r="N34" i="12"/>
  <c r="P34" i="12"/>
  <c r="P37" i="12"/>
  <c r="Q37" i="12"/>
  <c r="N37" i="12"/>
  <c r="M37" i="12"/>
  <c r="P26" i="12"/>
  <c r="Q26" i="12"/>
  <c r="M26" i="12"/>
  <c r="N26" i="12"/>
  <c r="P57" i="12"/>
  <c r="N57" i="12"/>
  <c r="L57" i="12"/>
  <c r="M57" i="12"/>
  <c r="Q57" i="12"/>
  <c r="L43" i="12"/>
  <c r="M43" i="12"/>
  <c r="N43" i="12"/>
  <c r="Q43" i="12"/>
  <c r="P43" i="12"/>
  <c r="U30" i="12"/>
  <c r="T30" i="12"/>
  <c r="W30" i="12"/>
  <c r="X30" i="12"/>
  <c r="L39" i="12"/>
  <c r="P39" i="12"/>
  <c r="M39" i="12"/>
  <c r="N39" i="12"/>
  <c r="Q39" i="12"/>
  <c r="P41" i="12"/>
  <c r="N41" i="12"/>
  <c r="M41" i="12"/>
  <c r="L41" i="12"/>
  <c r="Q41" i="12"/>
  <c r="L62" i="12"/>
  <c r="M62" i="12"/>
  <c r="N62" i="12"/>
  <c r="P62" i="12"/>
  <c r="Q62" i="12"/>
  <c r="N32" i="12"/>
  <c r="M32" i="12"/>
  <c r="Q32" i="12"/>
  <c r="P32" i="12"/>
  <c r="U50" i="12"/>
  <c r="X50" i="12"/>
  <c r="S50" i="12"/>
  <c r="T50" i="12"/>
  <c r="W50" i="12"/>
  <c r="W33" i="12"/>
  <c r="S33" i="12"/>
  <c r="U33" i="12"/>
  <c r="X33" i="12"/>
  <c r="T33" i="12"/>
  <c r="U48" i="12"/>
  <c r="W48" i="12"/>
  <c r="X48" i="12"/>
  <c r="S48" i="12"/>
  <c r="T48" i="12"/>
  <c r="N47" i="12"/>
  <c r="L47" i="12"/>
  <c r="M47" i="12"/>
  <c r="Q47" i="12"/>
  <c r="P47" i="12"/>
  <c r="W53" i="12"/>
  <c r="X53" i="12"/>
  <c r="T53" i="12"/>
  <c r="U53" i="12"/>
  <c r="S53" i="12"/>
  <c r="U44" i="12"/>
  <c r="S44" i="12"/>
  <c r="T44" i="12"/>
  <c r="W44" i="12"/>
  <c r="X44" i="12"/>
  <c r="S51" i="12"/>
  <c r="W51" i="12"/>
  <c r="U51" i="12"/>
  <c r="T51" i="12"/>
  <c r="X51" i="12"/>
  <c r="P45" i="12"/>
  <c r="M45" i="12"/>
  <c r="N45" i="12"/>
  <c r="L45" i="12"/>
  <c r="Q45" i="12"/>
  <c r="W29" i="12"/>
  <c r="T29" i="12"/>
  <c r="X29" i="12"/>
  <c r="U29" i="12"/>
  <c r="S55" i="12"/>
  <c r="U55" i="12"/>
  <c r="T55" i="12"/>
  <c r="X55" i="12"/>
  <c r="W55" i="12"/>
  <c r="U60" i="12"/>
  <c r="T60" i="12"/>
  <c r="S60" i="12"/>
  <c r="W60" i="12"/>
  <c r="X60" i="12"/>
  <c r="U52" i="12"/>
  <c r="T52" i="12"/>
  <c r="S52" i="12"/>
  <c r="W52" i="12"/>
  <c r="X52" i="12"/>
  <c r="N51" i="12"/>
  <c r="M51" i="12"/>
  <c r="L51" i="12"/>
  <c r="Q51" i="12"/>
  <c r="P51" i="12"/>
  <c r="L61" i="12"/>
  <c r="P61" i="12"/>
  <c r="Q61" i="12"/>
  <c r="M61" i="12"/>
  <c r="N61" i="12"/>
  <c r="P25" i="12"/>
  <c r="N25" i="12"/>
  <c r="M25" i="12"/>
  <c r="Q25" i="12"/>
  <c r="N28" i="12"/>
  <c r="Q28" i="12"/>
  <c r="M28" i="12"/>
  <c r="P28" i="12"/>
  <c r="U26" i="12"/>
  <c r="W26" i="12"/>
  <c r="X26" i="12"/>
  <c r="T26" i="12"/>
  <c r="S47" i="12"/>
  <c r="X47" i="12"/>
  <c r="U47" i="12"/>
  <c r="W47" i="12"/>
  <c r="T47" i="12"/>
  <c r="W57" i="12"/>
  <c r="X57" i="12"/>
  <c r="T57" i="12"/>
  <c r="S57" i="12"/>
  <c r="U57" i="12"/>
  <c r="U27" i="12"/>
  <c r="X27" i="12"/>
  <c r="W27" i="12"/>
  <c r="T27" i="12"/>
  <c r="W65" i="12"/>
  <c r="S65" i="12"/>
  <c r="U65" i="12"/>
  <c r="X65" i="12"/>
  <c r="T65" i="12"/>
  <c r="N59" i="12"/>
  <c r="L59" i="12"/>
  <c r="M59" i="12"/>
  <c r="P59" i="12"/>
  <c r="Q59" i="12"/>
  <c r="N27" i="12"/>
  <c r="Q27" i="12"/>
  <c r="P27" i="12"/>
  <c r="M27" i="12"/>
  <c r="L38" i="12"/>
  <c r="Q38" i="12"/>
  <c r="M38" i="12"/>
  <c r="N38" i="12"/>
  <c r="P38" i="12"/>
  <c r="Q3" i="12"/>
  <c r="P6" i="12"/>
  <c r="M6" i="12"/>
  <c r="Q6" i="12"/>
  <c r="N6" i="12"/>
  <c r="N20" i="12"/>
  <c r="M20" i="12"/>
  <c r="Q20" i="12"/>
  <c r="P20" i="12"/>
  <c r="P11" i="12"/>
  <c r="N11" i="12"/>
  <c r="Q11" i="12"/>
  <c r="M11" i="12"/>
  <c r="T21" i="12"/>
  <c r="W21" i="12"/>
  <c r="X21" i="12"/>
  <c r="U21" i="12"/>
  <c r="W14" i="12"/>
  <c r="X14" i="12"/>
  <c r="T14" i="12"/>
  <c r="U14" i="12"/>
  <c r="Q18" i="12"/>
  <c r="M18" i="12"/>
  <c r="N18" i="12"/>
  <c r="P18" i="12"/>
  <c r="X13" i="12"/>
  <c r="T13" i="12"/>
  <c r="W13" i="12"/>
  <c r="U13" i="12"/>
  <c r="N10" i="12"/>
  <c r="P10" i="12"/>
  <c r="Q10" i="12"/>
  <c r="M10" i="12"/>
  <c r="M4" i="12"/>
  <c r="Q4" i="12"/>
  <c r="P4" i="12"/>
  <c r="M15" i="12"/>
  <c r="Q15" i="12"/>
  <c r="N15" i="12"/>
  <c r="P15" i="12"/>
  <c r="X8" i="12"/>
  <c r="U8" i="12"/>
  <c r="T8" i="12"/>
  <c r="W8" i="12"/>
  <c r="X22" i="12"/>
  <c r="U22" i="12"/>
  <c r="T22" i="12"/>
  <c r="W22" i="12"/>
  <c r="P21" i="12"/>
  <c r="M21" i="12"/>
  <c r="N21" i="12"/>
  <c r="Q21" i="12"/>
  <c r="P22" i="12"/>
  <c r="M22" i="12"/>
  <c r="Q22" i="12"/>
  <c r="N22" i="12"/>
  <c r="W7" i="12"/>
  <c r="U7" i="12"/>
  <c r="T7" i="12"/>
  <c r="X7" i="12"/>
  <c r="X18" i="12"/>
  <c r="W18" i="12"/>
  <c r="U18" i="12"/>
  <c r="T18" i="12"/>
  <c r="X11" i="12"/>
  <c r="T11" i="12"/>
  <c r="W11" i="12"/>
  <c r="U11" i="12"/>
  <c r="M7" i="12"/>
  <c r="N7" i="12"/>
  <c r="P7" i="12"/>
  <c r="Q7" i="12"/>
  <c r="Q5" i="12"/>
  <c r="P5" i="12"/>
  <c r="N5" i="12"/>
  <c r="M5" i="12"/>
  <c r="T19" i="12"/>
  <c r="X19" i="12"/>
  <c r="W19" i="12"/>
  <c r="U19" i="12"/>
  <c r="W17" i="12"/>
  <c r="U17" i="12"/>
  <c r="T17" i="12"/>
  <c r="X17" i="12"/>
  <c r="U9" i="12"/>
  <c r="X9" i="12"/>
  <c r="T9" i="12"/>
  <c r="W9" i="12"/>
  <c r="Q17" i="12"/>
  <c r="P17" i="12"/>
  <c r="M17" i="12"/>
  <c r="N17" i="12"/>
  <c r="M14" i="12"/>
  <c r="Q14" i="12"/>
  <c r="P14" i="12"/>
  <c r="N14" i="12"/>
  <c r="W15" i="12"/>
  <c r="T15" i="12"/>
  <c r="U15" i="12"/>
  <c r="X15" i="12"/>
  <c r="X4" i="12"/>
  <c r="U4" i="12"/>
  <c r="W4" i="12"/>
  <c r="X3" i="12"/>
  <c r="Q16" i="12"/>
  <c r="P16" i="12"/>
  <c r="M16" i="12"/>
  <c r="N16" i="12"/>
  <c r="P19" i="12"/>
  <c r="Q19" i="12"/>
  <c r="M19" i="12"/>
  <c r="N19" i="12"/>
  <c r="T5" i="12"/>
  <c r="W5" i="12"/>
  <c r="U5" i="12"/>
  <c r="X5" i="12"/>
  <c r="X6" i="12"/>
  <c r="W6" i="12"/>
  <c r="T6" i="12"/>
  <c r="U6" i="12"/>
  <c r="X10" i="12"/>
  <c r="W10" i="12"/>
  <c r="U10" i="12"/>
  <c r="T10" i="12"/>
  <c r="P12" i="12"/>
  <c r="M12" i="12"/>
  <c r="N12" i="12"/>
  <c r="Q12" i="12"/>
  <c r="M13" i="12"/>
  <c r="P13" i="12"/>
  <c r="Q13" i="12"/>
  <c r="N13" i="12"/>
  <c r="M9" i="12"/>
  <c r="N9" i="12"/>
  <c r="P9" i="12"/>
  <c r="Q9" i="12"/>
  <c r="P8" i="12"/>
  <c r="Q8" i="12"/>
  <c r="M8" i="12"/>
  <c r="N8" i="12"/>
  <c r="X12" i="12"/>
  <c r="W12" i="12"/>
  <c r="U12" i="12"/>
  <c r="T12" i="12"/>
  <c r="U16" i="12"/>
  <c r="W16" i="12"/>
  <c r="X16" i="12"/>
  <c r="T16" i="12"/>
  <c r="T20" i="12"/>
  <c r="U20" i="12"/>
  <c r="X20" i="12"/>
  <c r="W20" i="12"/>
  <c r="S30" i="12" l="1"/>
  <c r="L36" i="12"/>
  <c r="L37" i="12"/>
  <c r="L32" i="12"/>
  <c r="L33" i="12"/>
  <c r="L35" i="12"/>
  <c r="L34" i="12"/>
  <c r="L31" i="12"/>
  <c r="L28" i="12"/>
  <c r="S26" i="12"/>
  <c r="L27" i="12"/>
  <c r="L29" i="12"/>
  <c r="S23" i="12"/>
  <c r="L24" i="12"/>
  <c r="L30" i="12"/>
  <c r="S25" i="12"/>
  <c r="S27" i="12"/>
  <c r="S24" i="12"/>
  <c r="L26" i="12"/>
  <c r="S29" i="12"/>
  <c r="S28" i="12"/>
  <c r="L25" i="12"/>
  <c r="L23" i="12"/>
  <c r="S8" i="12"/>
  <c r="S16" i="12"/>
  <c r="S9" i="12"/>
  <c r="S17" i="12"/>
  <c r="S10" i="12"/>
  <c r="S18" i="12"/>
  <c r="S19" i="12"/>
  <c r="S11" i="12"/>
  <c r="S4" i="12"/>
  <c r="S12" i="12"/>
  <c r="S20" i="12"/>
  <c r="S5" i="12"/>
  <c r="S13" i="12"/>
  <c r="S21" i="12"/>
  <c r="S6" i="12"/>
  <c r="S14" i="12"/>
  <c r="S22" i="12"/>
  <c r="S7" i="12"/>
  <c r="S15" i="12"/>
  <c r="S3" i="12"/>
  <c r="L9" i="12"/>
  <c r="L17" i="12"/>
  <c r="L4" i="12"/>
  <c r="L8" i="12"/>
  <c r="L10" i="12"/>
  <c r="L18" i="12"/>
  <c r="L12" i="12"/>
  <c r="L11" i="12"/>
  <c r="L19" i="12"/>
  <c r="L20" i="12"/>
  <c r="L5" i="12"/>
  <c r="L13" i="12"/>
  <c r="L21" i="12"/>
  <c r="L15" i="12"/>
  <c r="L6" i="12"/>
  <c r="L14" i="12"/>
  <c r="L22" i="12"/>
  <c r="L7" i="12"/>
  <c r="L3" i="12"/>
  <c r="L16" i="12"/>
  <c r="H9" i="3"/>
  <c r="G9" i="3"/>
  <c r="G7" i="3"/>
  <c r="H7" i="3"/>
  <c r="H8" i="3"/>
  <c r="G8" i="3"/>
  <c r="H5" i="3"/>
  <c r="G5" i="3"/>
  <c r="H15" i="3"/>
  <c r="G15" i="3"/>
  <c r="H14" i="3"/>
  <c r="G14" i="3"/>
  <c r="G11" i="3"/>
  <c r="H11" i="3"/>
  <c r="H16" i="3"/>
  <c r="G16" i="3"/>
  <c r="G4" i="3"/>
  <c r="H17" i="3"/>
  <c r="G12" i="3"/>
  <c r="H10" i="3"/>
  <c r="H18" i="3"/>
  <c r="G13" i="3"/>
  <c r="G19" i="3"/>
  <c r="D6" i="3"/>
  <c r="E6" i="3" l="1"/>
  <c r="F6" i="3"/>
  <c r="H6" i="3" s="1"/>
  <c r="H19" i="3"/>
  <c r="H12" i="3"/>
  <c r="H4" i="3"/>
  <c r="H13" i="3"/>
  <c r="G17" i="3"/>
  <c r="G10" i="3"/>
  <c r="G18" i="3"/>
  <c r="P15" i="3" l="1"/>
  <c r="Q15" i="3" s="1"/>
  <c r="P5" i="3"/>
  <c r="Q5" i="3" s="1"/>
  <c r="P9" i="3"/>
  <c r="P10" i="3"/>
  <c r="G6" i="3"/>
  <c r="K11" i="3" s="1"/>
  <c r="L11" i="3" s="1"/>
  <c r="P6" i="3"/>
  <c r="Q6" i="3" s="1"/>
  <c r="P7" i="3"/>
  <c r="R7" i="3" s="1"/>
  <c r="P12" i="3"/>
  <c r="Q12" i="3" s="1"/>
  <c r="P8" i="3"/>
  <c r="R8" i="3" s="1"/>
  <c r="P4" i="3"/>
  <c r="Q4" i="3" s="1"/>
  <c r="P19" i="3"/>
  <c r="R19" i="3" s="1"/>
  <c r="P11" i="3"/>
  <c r="R11" i="3" s="1"/>
  <c r="P14" i="3"/>
  <c r="Q14" i="3" s="1"/>
  <c r="P18" i="3"/>
  <c r="O18" i="3" s="1"/>
  <c r="P17" i="3"/>
  <c r="O17" i="3" s="1"/>
  <c r="P13" i="3"/>
  <c r="P16" i="3"/>
  <c r="O16" i="3" s="1"/>
  <c r="O15" i="3" l="1"/>
  <c r="R15" i="3"/>
  <c r="R5" i="3"/>
  <c r="R9" i="3"/>
  <c r="Q8" i="3"/>
  <c r="Q9" i="3"/>
  <c r="K7" i="3"/>
  <c r="M7" i="3" s="1"/>
  <c r="R10" i="3"/>
  <c r="K19" i="3"/>
  <c r="J19" i="3" s="1"/>
  <c r="K17" i="3"/>
  <c r="L17" i="3" s="1"/>
  <c r="K16" i="3"/>
  <c r="J16" i="3" s="1"/>
  <c r="Q7" i="3"/>
  <c r="K5" i="3"/>
  <c r="M5" i="3" s="1"/>
  <c r="K4" i="3"/>
  <c r="M4" i="3" s="1"/>
  <c r="R18" i="3"/>
  <c r="K12" i="3"/>
  <c r="L12" i="3" s="1"/>
  <c r="Q18" i="3"/>
  <c r="K8" i="3"/>
  <c r="L8" i="3" s="1"/>
  <c r="K9" i="3"/>
  <c r="L9" i="3" s="1"/>
  <c r="R14" i="3"/>
  <c r="R6" i="3"/>
  <c r="O13" i="3" s="1"/>
  <c r="K18" i="3"/>
  <c r="J18" i="3" s="1"/>
  <c r="K13" i="3"/>
  <c r="M13" i="3" s="1"/>
  <c r="Q10" i="3"/>
  <c r="K15" i="3"/>
  <c r="M15" i="3" s="1"/>
  <c r="K10" i="3"/>
  <c r="M10" i="3" s="1"/>
  <c r="O14" i="3"/>
  <c r="Q11" i="3"/>
  <c r="R12" i="3"/>
  <c r="Q17" i="3"/>
  <c r="R17" i="3"/>
  <c r="K6" i="3"/>
  <c r="M6" i="3" s="1"/>
  <c r="K14" i="3"/>
  <c r="M14" i="3" s="1"/>
  <c r="R4" i="3"/>
  <c r="R16" i="3"/>
  <c r="Q16" i="3"/>
  <c r="Q19" i="3"/>
  <c r="O19" i="3"/>
  <c r="M11" i="3"/>
  <c r="Q13" i="3"/>
  <c r="R13" i="3"/>
  <c r="O12" i="3" l="1"/>
  <c r="O11" i="3"/>
  <c r="O10" i="3"/>
  <c r="O9" i="3"/>
  <c r="L19" i="3"/>
  <c r="L18" i="3"/>
  <c r="M12" i="3"/>
  <c r="M19" i="3"/>
  <c r="L7" i="3"/>
  <c r="L5" i="3"/>
  <c r="J15" i="3"/>
  <c r="J17" i="3"/>
  <c r="M17" i="3"/>
  <c r="L16" i="3"/>
  <c r="L6" i="3"/>
  <c r="L15" i="3"/>
  <c r="M16" i="3"/>
  <c r="M18" i="3"/>
  <c r="O8" i="3"/>
  <c r="L4" i="3"/>
  <c r="M9" i="3"/>
  <c r="M8" i="3"/>
  <c r="L10" i="3"/>
  <c r="L13" i="3"/>
  <c r="J14" i="3"/>
  <c r="L14" i="3"/>
  <c r="O6" i="3"/>
  <c r="O4" i="3"/>
  <c r="O5" i="3"/>
  <c r="O7" i="3"/>
  <c r="J13" i="3" l="1"/>
  <c r="J9" i="3"/>
  <c r="J8" i="3"/>
  <c r="J6" i="3"/>
  <c r="J5" i="3"/>
  <c r="J4" i="3"/>
  <c r="J11" i="3"/>
  <c r="J12" i="3"/>
  <c r="J10" i="3"/>
  <c r="J7" i="3"/>
</calcChain>
</file>

<file path=xl/sharedStrings.xml><?xml version="1.0" encoding="utf-8"?>
<sst xmlns="http://schemas.openxmlformats.org/spreadsheetml/2006/main" count="1150" uniqueCount="151">
  <si>
    <t>氏名</t>
    <rPh sb="0" eb="2">
      <t>シメイ</t>
    </rPh>
    <phoneticPr fontId="1"/>
  </si>
  <si>
    <t>性別</t>
    <rPh sb="0" eb="2">
      <t>セイベツ</t>
    </rPh>
    <phoneticPr fontId="1"/>
  </si>
  <si>
    <t>チーム</t>
    <phoneticPr fontId="1"/>
  </si>
  <si>
    <t>チーム合計</t>
    <rPh sb="3" eb="5">
      <t>ゴウケイ</t>
    </rPh>
    <phoneticPr fontId="1"/>
  </si>
  <si>
    <t>個人合計</t>
    <rPh sb="0" eb="2">
      <t>コジン</t>
    </rPh>
    <rPh sb="2" eb="4">
      <t>ゴウケイ</t>
    </rPh>
    <phoneticPr fontId="1"/>
  </si>
  <si>
    <t>チーム名</t>
    <rPh sb="3" eb="4">
      <t>メイ</t>
    </rPh>
    <phoneticPr fontId="1"/>
  </si>
  <si>
    <t>総本数</t>
    <rPh sb="0" eb="1">
      <t>ソウ</t>
    </rPh>
    <rPh sb="1" eb="3">
      <t>ホンスウ</t>
    </rPh>
    <phoneticPr fontId="1"/>
  </si>
  <si>
    <t>大前</t>
    <rPh sb="0" eb="2">
      <t>オオマエ</t>
    </rPh>
    <phoneticPr fontId="1"/>
  </si>
  <si>
    <t>２的</t>
    <rPh sb="1" eb="2">
      <t>テキ</t>
    </rPh>
    <phoneticPr fontId="1"/>
  </si>
  <si>
    <t>３的</t>
    <rPh sb="1" eb="2">
      <t>テキ</t>
    </rPh>
    <phoneticPr fontId="1"/>
  </si>
  <si>
    <t>落ち</t>
    <rPh sb="0" eb="1">
      <t>オ</t>
    </rPh>
    <phoneticPr fontId="1"/>
  </si>
  <si>
    <t>順位</t>
    <rPh sb="0" eb="2">
      <t>ジュンイ</t>
    </rPh>
    <phoneticPr fontId="1"/>
  </si>
  <si>
    <t>総本数</t>
    <rPh sb="0" eb="1">
      <t>ソウ</t>
    </rPh>
    <rPh sb="1" eb="3">
      <t>ホンスウ</t>
    </rPh>
    <phoneticPr fontId="1"/>
  </si>
  <si>
    <t>チーム名</t>
    <rPh sb="3" eb="4">
      <t>メイ</t>
    </rPh>
    <phoneticPr fontId="1"/>
  </si>
  <si>
    <t>チーム成績</t>
    <rPh sb="3" eb="5">
      <t>セイセキ</t>
    </rPh>
    <phoneticPr fontId="1"/>
  </si>
  <si>
    <t>順位計算</t>
    <rPh sb="0" eb="2">
      <t>ジュンイケイサン2</t>
    </rPh>
    <phoneticPr fontId="1"/>
  </si>
  <si>
    <t>並び順位</t>
    <rPh sb="0" eb="1">
      <t>ナラ</t>
    </rPh>
    <rPh sb="2" eb="4">
      <t>ジュンイ</t>
    </rPh>
    <phoneticPr fontId="1"/>
  </si>
  <si>
    <t>表示順位</t>
    <rPh sb="0" eb="2">
      <t>ヒョウジ</t>
    </rPh>
    <rPh sb="2" eb="4">
      <t>ジュンイ</t>
    </rPh>
    <phoneticPr fontId="1"/>
  </si>
  <si>
    <t>No.</t>
    <phoneticPr fontId="1"/>
  </si>
  <si>
    <t>2立目 合計</t>
    <rPh sb="2" eb="3">
      <t>メ</t>
    </rPh>
    <rPh sb="4" eb="6">
      <t>ゴウケイ</t>
    </rPh>
    <phoneticPr fontId="1"/>
  </si>
  <si>
    <t>1立目 合計</t>
    <rPh sb="1" eb="2">
      <t>タチ</t>
    </rPh>
    <rPh sb="2" eb="3">
      <t>メ</t>
    </rPh>
    <rPh sb="4" eb="6">
      <t>ゴウケイ</t>
    </rPh>
    <phoneticPr fontId="1"/>
  </si>
  <si>
    <t>2立目 合計</t>
    <rPh sb="1" eb="2">
      <t>タチ</t>
    </rPh>
    <rPh sb="2" eb="3">
      <t>メ</t>
    </rPh>
    <rPh sb="4" eb="6">
      <t>ゴウケイ</t>
    </rPh>
    <phoneticPr fontId="1"/>
  </si>
  <si>
    <t>4射</t>
    <rPh sb="1" eb="2">
      <t>シャ</t>
    </rPh>
    <phoneticPr fontId="1"/>
  </si>
  <si>
    <t>3射</t>
  </si>
  <si>
    <t>3射</t>
    <phoneticPr fontId="1"/>
  </si>
  <si>
    <t>2射</t>
  </si>
  <si>
    <t>2射</t>
    <phoneticPr fontId="1"/>
  </si>
  <si>
    <t>1射</t>
  </si>
  <si>
    <t>1射</t>
    <phoneticPr fontId="1"/>
  </si>
  <si>
    <t>女</t>
  </si>
  <si>
    <t>男</t>
  </si>
  <si>
    <t>計算数</t>
    <rPh sb="0" eb="3">
      <t>ケイサンスウ</t>
    </rPh>
    <phoneticPr fontId="1"/>
  </si>
  <si>
    <t>個人順位用</t>
    <rPh sb="0" eb="5">
      <t>コジンジュンイヨウ</t>
    </rPh>
    <phoneticPr fontId="1"/>
  </si>
  <si>
    <t>個人順位表：男性</t>
    <rPh sb="0" eb="2">
      <t>コジン</t>
    </rPh>
    <rPh sb="6" eb="8">
      <t>ダンセイ</t>
    </rPh>
    <phoneticPr fontId="1"/>
  </si>
  <si>
    <t>個人順位表：女性</t>
    <rPh sb="0" eb="2">
      <t>コジン</t>
    </rPh>
    <rPh sb="6" eb="8">
      <t>ジョセイ</t>
    </rPh>
    <phoneticPr fontId="1"/>
  </si>
  <si>
    <t>性別</t>
    <rPh sb="0" eb="2">
      <t>セイベツ</t>
    </rPh>
    <phoneticPr fontId="1"/>
  </si>
  <si>
    <t>個人順位表：男女混合</t>
    <rPh sb="0" eb="2">
      <t>コジン</t>
    </rPh>
    <rPh sb="6" eb="8">
      <t>ダンジョ</t>
    </rPh>
    <rPh sb="8" eb="10">
      <t>コンゴウ</t>
    </rPh>
    <phoneticPr fontId="1"/>
  </si>
  <si>
    <t>西春日井A</t>
  </si>
  <si>
    <t>西春日井B</t>
  </si>
  <si>
    <t>春日井A</t>
  </si>
  <si>
    <t>尾張旭A</t>
  </si>
  <si>
    <t>尾張旭B</t>
  </si>
  <si>
    <t>日進A</t>
  </si>
  <si>
    <t>日進A</t>
    <phoneticPr fontId="1"/>
  </si>
  <si>
    <t>日進B</t>
  </si>
  <si>
    <t>日進B</t>
    <phoneticPr fontId="1"/>
  </si>
  <si>
    <t>春日井B</t>
  </si>
  <si>
    <t>長久手A</t>
  </si>
  <si>
    <t>長久手B</t>
  </si>
  <si>
    <t>豊明A</t>
  </si>
  <si>
    <t>豊明B</t>
  </si>
  <si>
    <t>チーム順位表：総合</t>
    <rPh sb="7" eb="9">
      <t>ソウゴウ</t>
    </rPh>
    <phoneticPr fontId="1"/>
  </si>
  <si>
    <t>チーム順位表：男子</t>
    <rPh sb="7" eb="9">
      <t>ダンシ</t>
    </rPh>
    <phoneticPr fontId="1"/>
  </si>
  <si>
    <t>男女区別</t>
    <rPh sb="0" eb="2">
      <t>ダンジョ</t>
    </rPh>
    <rPh sb="2" eb="4">
      <t>クベツ</t>
    </rPh>
    <phoneticPr fontId="1"/>
  </si>
  <si>
    <t>チーム順位表：女子</t>
    <rPh sb="7" eb="9">
      <t>ジョシ</t>
    </rPh>
    <phoneticPr fontId="1"/>
  </si>
  <si>
    <t>列1</t>
  </si>
  <si>
    <t>列2</t>
  </si>
  <si>
    <t>列3</t>
  </si>
  <si>
    <t>氏 名</t>
    <rPh sb="0" eb="1">
      <t>シ</t>
    </rPh>
    <rPh sb="2" eb="3">
      <t>ナ</t>
    </rPh>
    <phoneticPr fontId="1"/>
  </si>
  <si>
    <t>男女</t>
    <rPh sb="0" eb="2">
      <t>ダンジョ</t>
    </rPh>
    <phoneticPr fontId="1"/>
  </si>
  <si>
    <t>峯 徹</t>
  </si>
  <si>
    <t>伊藤 恭浩</t>
  </si>
  <si>
    <t>大嶋 啓嗣</t>
  </si>
  <si>
    <t>田井 泰</t>
  </si>
  <si>
    <t>佃 弘美</t>
  </si>
  <si>
    <t>渡會 あすか</t>
  </si>
  <si>
    <t>片桐 志保</t>
  </si>
  <si>
    <t>伊藤 洋子</t>
  </si>
  <si>
    <t>西尾 雅司</t>
  </si>
  <si>
    <t>角谷 昌紀</t>
  </si>
  <si>
    <t>大竹 誠</t>
  </si>
  <si>
    <t>山田 英治</t>
  </si>
  <si>
    <t>田中 沙紀子</t>
  </si>
  <si>
    <t>北川 裕希子</t>
  </si>
  <si>
    <t>安達 初枝</t>
  </si>
  <si>
    <t>加藤 康子</t>
  </si>
  <si>
    <t>葛西 裕文</t>
  </si>
  <si>
    <t>松永 安太郎</t>
  </si>
  <si>
    <t>山本 三郎</t>
  </si>
  <si>
    <t>芝田 典久</t>
  </si>
  <si>
    <t>澤田 圭子</t>
  </si>
  <si>
    <t>上平 佳織</t>
  </si>
  <si>
    <t>水野 三穂</t>
  </si>
  <si>
    <t>野々垣 奈緒子</t>
  </si>
  <si>
    <t>新美 友治</t>
  </si>
  <si>
    <t>笠井 大督</t>
  </si>
  <si>
    <t>谷田 直樹</t>
  </si>
  <si>
    <t>志手 俊二</t>
  </si>
  <si>
    <t>後藤 徳子</t>
  </si>
  <si>
    <t>越後 奈緒美</t>
  </si>
  <si>
    <t>入江 美讃</t>
  </si>
  <si>
    <t>谷口 洋子</t>
  </si>
  <si>
    <t>近藤 雄介</t>
  </si>
  <si>
    <t>近藤 治</t>
  </si>
  <si>
    <t>外山 康彦</t>
  </si>
  <si>
    <t>榊原 隆一</t>
  </si>
  <si>
    <t>堀井 恵美子</t>
  </si>
  <si>
    <t>深見 裕子</t>
  </si>
  <si>
    <t>樋田 良子</t>
  </si>
  <si>
    <t>谷口 祥子</t>
  </si>
  <si>
    <t>愛知A</t>
    <rPh sb="0" eb="2">
      <t>アイチ</t>
    </rPh>
    <phoneticPr fontId="1"/>
  </si>
  <si>
    <t>門矢 誠</t>
  </si>
  <si>
    <t>平野 良則</t>
  </si>
  <si>
    <t>小沢 浩寿</t>
  </si>
  <si>
    <t>木村 憲司</t>
  </si>
  <si>
    <t>瀬戸A</t>
  </si>
  <si>
    <t>瀬戸B</t>
  </si>
  <si>
    <t>豊明A</t>
    <phoneticPr fontId="1"/>
  </si>
  <si>
    <t>豊明B</t>
    <phoneticPr fontId="1"/>
  </si>
  <si>
    <t>丹羽 泰生</t>
  </si>
  <si>
    <t>杉原 伸哉</t>
  </si>
  <si>
    <t>大槻 成実</t>
  </si>
  <si>
    <t>加藤 忠人</t>
  </si>
  <si>
    <t>村瀬 沙織</t>
  </si>
  <si>
    <t>中神 佐知子</t>
  </si>
  <si>
    <t>荒川 花子</t>
  </si>
  <si>
    <t>白井 千鶴子</t>
  </si>
  <si>
    <t>ダミーA</t>
    <phoneticPr fontId="1"/>
  </si>
  <si>
    <t>〇</t>
  </si>
  <si>
    <t>矢島 悟朗</t>
  </si>
  <si>
    <t>野村 清美</t>
  </si>
  <si>
    <t>加藤 広史</t>
  </si>
  <si>
    <t>長江 辰彦</t>
  </si>
  <si>
    <t>谷口 弥生</t>
  </si>
  <si>
    <t>加藤 節子</t>
  </si>
  <si>
    <t>瀬山 博子</t>
  </si>
  <si>
    <t>原 由美子</t>
  </si>
  <si>
    <t>第　一　グ　ル　ー　プ</t>
    <rPh sb="0" eb="1">
      <t>ダイ</t>
    </rPh>
    <rPh sb="2" eb="3">
      <t>イチ</t>
    </rPh>
    <phoneticPr fontId="1"/>
  </si>
  <si>
    <t>第　三　グ　ル　ー　プ</t>
    <rPh sb="0" eb="1">
      <t>ダイ</t>
    </rPh>
    <rPh sb="2" eb="3">
      <t>サン</t>
    </rPh>
    <phoneticPr fontId="1"/>
  </si>
  <si>
    <t>第　二　グ　ル　ー　プ</t>
    <rPh sb="0" eb="1">
      <t>ダイ</t>
    </rPh>
    <rPh sb="2" eb="3">
      <t>ニ</t>
    </rPh>
    <phoneticPr fontId="1"/>
  </si>
  <si>
    <t>第一グループ</t>
    <rPh sb="0" eb="1">
      <t>ダイ</t>
    </rPh>
    <rPh sb="1" eb="2">
      <t>イチ</t>
    </rPh>
    <phoneticPr fontId="1"/>
  </si>
  <si>
    <t>第二グループ</t>
    <rPh sb="0" eb="1">
      <t>ダイ</t>
    </rPh>
    <rPh sb="1" eb="2">
      <t>ニ</t>
    </rPh>
    <phoneticPr fontId="1"/>
  </si>
  <si>
    <t>第三グループ</t>
    <rPh sb="0" eb="1">
      <t>ダイ</t>
    </rPh>
    <rPh sb="1" eb="2">
      <t>サン</t>
    </rPh>
    <phoneticPr fontId="1"/>
  </si>
  <si>
    <t>立順</t>
    <phoneticPr fontId="1"/>
  </si>
  <si>
    <t>背番号</t>
    <phoneticPr fontId="1"/>
  </si>
  <si>
    <t>団体名</t>
    <phoneticPr fontId="1"/>
  </si>
  <si>
    <t>選手名</t>
    <phoneticPr fontId="1"/>
  </si>
  <si>
    <t>性別</t>
    <phoneticPr fontId="1"/>
  </si>
  <si>
    <t>1回目</t>
    <phoneticPr fontId="1"/>
  </si>
  <si>
    <t>的中数</t>
    <phoneticPr fontId="1"/>
  </si>
  <si>
    <t>2回目</t>
    <phoneticPr fontId="1"/>
  </si>
  <si>
    <t>個人女子</t>
    <phoneticPr fontId="1"/>
  </si>
  <si>
    <t>個人男子</t>
    <phoneticPr fontId="1"/>
  </si>
  <si>
    <t>団体女子</t>
    <phoneticPr fontId="1"/>
  </si>
  <si>
    <t>団体男子</t>
    <phoneticPr fontId="1"/>
  </si>
  <si>
    <t>合計</t>
    <phoneticPr fontId="1"/>
  </si>
  <si>
    <t>順位</t>
  </si>
  <si>
    <t>順位</t>
    <phoneticPr fontId="1"/>
  </si>
  <si>
    <t>―</t>
  </si>
  <si>
    <t>―</t>
    <phoneticPr fontId="1"/>
  </si>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</sst>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General\ &quot;中&quot;"/>
    <numFmt numFmtId="177" formatCode="0.000000000"/>
  </numFmts>
  <fonts count="22" x14ac:knownFonts="1">
    <font>
      <sz val="11"/>
      <color theme="1"/>
      <name val="游ゴシック"/>
      <family val="2"/>
      <scheme val="minor"/>
    </font>
    <font>
      <sz val="6"/>
      <name val="游ゴシック"/>
      <family val="3"/>
      <charset val="128"/>
      <scheme val="minor"/>
    </font>
    <font>
      <sz val="24"/>
      <color theme="1"/>
      <name val="メイリオ"/>
      <family val="3"/>
      <charset val="128"/>
    </font>
    <font>
      <b/>
      <sz val="24"/>
      <color theme="1"/>
      <name val="メイリオ"/>
      <family val="3"/>
      <charset val="128"/>
    </font>
    <font>
      <b/>
      <sz val="24"/>
      <color indexed="8"/>
      <name val="メイリオ"/>
      <family val="3"/>
      <charset val="128"/>
    </font>
    <font>
      <sz val="14"/>
      <color theme="1"/>
      <name val="メイリオ"/>
      <family val="3"/>
      <charset val="128"/>
    </font>
    <font>
      <b/>
      <sz val="14"/>
      <color theme="0"/>
      <name val="メイリオ"/>
      <family val="3"/>
      <charset val="128"/>
    </font>
    <font>
      <sz val="20"/>
      <color theme="1"/>
      <name val="BIZ UDPゴシック"/>
      <family val="3"/>
      <charset val="128"/>
    </font>
    <font>
      <b/>
      <sz val="20"/>
      <color theme="1"/>
      <name val="游ゴシック"/>
      <family val="3"/>
      <charset val="128"/>
      <scheme val="minor"/>
    </font>
    <font>
      <sz val="20"/>
      <color theme="1"/>
      <name val="游ゴシック"/>
      <family val="3"/>
      <charset val="128"/>
      <scheme val="minor"/>
    </font>
    <font>
      <b/>
      <sz val="20"/>
      <color rgb="FFC00000"/>
      <name val="游ゴシック"/>
      <family val="3"/>
      <charset val="128"/>
      <scheme val="minor"/>
    </font>
    <font>
      <sz val="18"/>
      <color theme="1"/>
      <name val="メイリオ"/>
      <family val="3"/>
      <charset val="128"/>
    </font>
    <font>
      <b/>
      <sz val="18"/>
      <color theme="0"/>
      <name val="メイリオ"/>
      <family val="3"/>
      <charset val="128"/>
    </font>
    <font>
      <sz val="18"/>
      <color theme="0"/>
      <name val="メイリオ"/>
      <family val="3"/>
      <charset val="128"/>
    </font>
    <font>
      <b/>
      <sz val="14"/>
      <color theme="0" tint="-4.9989318521683403E-2"/>
      <name val="メイリオ"/>
      <family val="3"/>
      <charset val="128"/>
    </font>
    <font>
      <b/>
      <sz val="24"/>
      <color theme="1"/>
      <name val="游ゴシック"/>
      <family val="3"/>
      <charset val="128"/>
      <scheme val="minor"/>
    </font>
    <font>
      <b/>
      <sz val="28"/>
      <color theme="1"/>
      <name val="BIZ UDPゴシック"/>
      <family val="3"/>
      <charset val="128"/>
    </font>
    <font>
      <sz val="10"/>
      <color theme="1"/>
      <name val="Meiryo UI"/>
      <family val="3"/>
      <charset val="128"/>
    </font>
    <font>
      <sz val="10"/>
      <color rgb="FFFF0000"/>
      <name val="Meiryo UI"/>
      <family val="3"/>
      <charset val="128"/>
    </font>
    <font>
      <sz val="12"/>
      <color theme="1"/>
      <name val="游ゴシック"/>
      <family val="3"/>
      <charset val="128"/>
      <scheme val="minor"/>
    </font>
    <font>
      <sz val="10"/>
      <color theme="0"/>
      <name val="Meiryo UI"/>
      <family val="3"/>
      <charset val="128"/>
    </font>
    <font>
      <b/>
      <sz val="10"/>
      <color theme="0" tint="-4.9989318521683403E-2"/>
      <name val="Meiryo UI"/>
      <family val="3"/>
      <charset val="128"/>
    </font>
  </fonts>
  <fills count="11">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1"/>
        <bgColor theme="1"/>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rgb="FFC00000"/>
        <bgColor indexed="64"/>
      </patternFill>
    </fill>
  </fills>
  <borders count="1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theme="0" tint="-4.9989318521683403E-2"/>
      </left>
      <right style="thin">
        <color indexed="64"/>
      </right>
      <top style="thin">
        <color theme="0" tint="-4.9989318521683403E-2"/>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theme="0" tint="-4.9989318521683403E-2"/>
      </left>
      <right style="thin">
        <color theme="0" tint="-4.9989318521683403E-2"/>
      </right>
      <top style="thin">
        <color theme="0" tint="-4.9989318521683403E-2"/>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double">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dotted">
        <color indexed="64"/>
      </bottom>
      <diagonal/>
    </border>
    <border>
      <left style="medium">
        <color indexed="64"/>
      </left>
      <right style="thin">
        <color indexed="64"/>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double">
        <color indexed="64"/>
      </left>
      <right style="thin">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right style="thin">
        <color indexed="64"/>
      </right>
      <top style="dotted">
        <color indexed="64"/>
      </top>
      <bottom style="medium">
        <color indexed="64"/>
      </bottom>
      <diagonal/>
    </border>
    <border>
      <left/>
      <right/>
      <top style="dotted">
        <color indexed="64"/>
      </top>
      <bottom style="medium">
        <color indexed="64"/>
      </bottom>
      <diagonal/>
    </border>
    <border>
      <left style="double">
        <color indexed="64"/>
      </left>
      <right style="thin">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bottom style="medium">
        <color indexed="64"/>
      </bottom>
      <diagonal/>
    </border>
    <border>
      <left/>
      <right style="thin">
        <color theme="0" tint="-4.9989318521683403E-2"/>
      </right>
      <top/>
      <bottom style="thin">
        <color indexed="64"/>
      </bottom>
      <diagonal/>
    </border>
    <border>
      <left style="thin">
        <color theme="0" tint="-4.9989318521683403E-2"/>
      </left>
      <right style="thin">
        <color theme="0" tint="-4.9989318521683403E-2"/>
      </right>
      <top/>
      <bottom style="thin">
        <color indexed="64"/>
      </bottom>
      <diagonal/>
    </border>
    <border>
      <left style="thin">
        <color theme="0" tint="-4.9989318521683403E-2"/>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indexed="64"/>
      </right>
      <top/>
      <bottom style="dotted">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right/>
      <top style="medium">
        <color indexed="64"/>
      </top>
      <bottom style="thin">
        <color indexed="64"/>
      </bottom>
      <diagonal/>
    </border>
    <border>
      <left style="double">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style="double">
        <color indexed="64"/>
      </left>
      <right style="thin">
        <color indexed="64"/>
      </right>
      <top/>
      <bottom style="dotted">
        <color indexed="64"/>
      </bottom>
      <diagonal/>
    </border>
    <border>
      <left style="thin">
        <color indexed="64"/>
      </left>
      <right style="medium">
        <color indexed="64"/>
      </right>
      <top/>
      <bottom style="dotted">
        <color indexed="64"/>
      </bottom>
      <diagonal/>
    </border>
    <border>
      <left/>
      <right/>
      <top/>
      <bottom style="dotted">
        <color indexed="64"/>
      </bottom>
      <diagonal/>
    </border>
    <border>
      <left/>
      <right style="medium">
        <color indexed="64"/>
      </right>
      <top/>
      <bottom style="dotted">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bottom style="double">
        <color indexed="64"/>
      </bottom>
      <diagonal/>
    </border>
    <border>
      <left style="thin">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right style="medium">
        <color indexed="64"/>
      </right>
      <top/>
      <bottom style="double">
        <color indexed="64"/>
      </bottom>
      <diagonal/>
    </border>
    <border>
      <left/>
      <right style="thin">
        <color indexed="64"/>
      </right>
      <top style="thin">
        <color indexed="64"/>
      </top>
      <bottom style="hair">
        <color theme="0" tint="-0.24994659260841701"/>
      </bottom>
      <diagonal/>
    </border>
    <border>
      <left style="thin">
        <color indexed="64"/>
      </left>
      <right style="thin">
        <color indexed="64"/>
      </right>
      <top style="thin">
        <color indexed="64"/>
      </top>
      <bottom style="hair">
        <color theme="0" tint="-0.24994659260841701"/>
      </bottom>
      <diagonal/>
    </border>
    <border>
      <left style="thin">
        <color indexed="64"/>
      </left>
      <right/>
      <top style="thin">
        <color indexed="64"/>
      </top>
      <bottom style="hair">
        <color theme="0" tint="-0.24994659260841701"/>
      </bottom>
      <diagonal/>
    </border>
    <border>
      <left style="double">
        <color indexed="64"/>
      </left>
      <right style="thin">
        <color indexed="64"/>
      </right>
      <top style="thin">
        <color indexed="64"/>
      </top>
      <bottom style="hair">
        <color theme="0" tint="-0.24994659260841701"/>
      </bottom>
      <diagonal/>
    </border>
    <border>
      <left style="thin">
        <color indexed="64"/>
      </left>
      <right style="double">
        <color indexed="64"/>
      </right>
      <top style="thin">
        <color indexed="64"/>
      </top>
      <bottom style="hair">
        <color theme="0" tint="-0.24994659260841701"/>
      </bottom>
      <diagonal/>
    </border>
    <border>
      <left/>
      <right style="thin">
        <color indexed="64"/>
      </right>
      <top style="hair">
        <color theme="0" tint="-0.24994659260841701"/>
      </top>
      <bottom style="hair">
        <color theme="0" tint="-0.24994659260841701"/>
      </bottom>
      <diagonal/>
    </border>
    <border>
      <left style="thin">
        <color indexed="64"/>
      </left>
      <right style="thin">
        <color indexed="64"/>
      </right>
      <top style="hair">
        <color theme="0" tint="-0.24994659260841701"/>
      </top>
      <bottom style="hair">
        <color theme="0" tint="-0.24994659260841701"/>
      </bottom>
      <diagonal/>
    </border>
    <border>
      <left style="thin">
        <color indexed="64"/>
      </left>
      <right/>
      <top style="hair">
        <color theme="0" tint="-0.24994659260841701"/>
      </top>
      <bottom style="hair">
        <color theme="0" tint="-0.24994659260841701"/>
      </bottom>
      <diagonal/>
    </border>
    <border>
      <left style="double">
        <color indexed="64"/>
      </left>
      <right style="thin">
        <color indexed="64"/>
      </right>
      <top style="hair">
        <color theme="0" tint="-0.24994659260841701"/>
      </top>
      <bottom style="hair">
        <color theme="0" tint="-0.24994659260841701"/>
      </bottom>
      <diagonal/>
    </border>
    <border>
      <left style="thin">
        <color indexed="64"/>
      </left>
      <right style="double">
        <color indexed="64"/>
      </right>
      <top style="hair">
        <color theme="0" tint="-0.24994659260841701"/>
      </top>
      <bottom style="hair">
        <color theme="0" tint="-0.24994659260841701"/>
      </bottom>
      <diagonal/>
    </border>
    <border>
      <left/>
      <right style="thin">
        <color indexed="64"/>
      </right>
      <top style="hair">
        <color theme="0" tint="-0.24994659260841701"/>
      </top>
      <bottom style="medium">
        <color indexed="64"/>
      </bottom>
      <diagonal/>
    </border>
    <border>
      <left style="thin">
        <color indexed="64"/>
      </left>
      <right style="thin">
        <color indexed="64"/>
      </right>
      <top style="hair">
        <color theme="0" tint="-0.24994659260841701"/>
      </top>
      <bottom style="medium">
        <color indexed="64"/>
      </bottom>
      <diagonal/>
    </border>
    <border>
      <left style="thin">
        <color indexed="64"/>
      </left>
      <right/>
      <top style="hair">
        <color theme="0" tint="-0.24994659260841701"/>
      </top>
      <bottom style="medium">
        <color indexed="64"/>
      </bottom>
      <diagonal/>
    </border>
    <border>
      <left style="double">
        <color indexed="64"/>
      </left>
      <right style="thin">
        <color indexed="64"/>
      </right>
      <top style="hair">
        <color theme="0" tint="-0.24994659260841701"/>
      </top>
      <bottom style="medium">
        <color indexed="64"/>
      </bottom>
      <diagonal/>
    </border>
    <border>
      <left style="thin">
        <color indexed="64"/>
      </left>
      <right style="double">
        <color indexed="64"/>
      </right>
      <top style="hair">
        <color theme="0" tint="-0.24994659260841701"/>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271">
    <xf numFmtId="0" fontId="0" fillId="0" borderId="0" xfId="0"/>
    <xf numFmtId="0" fontId="2" fillId="0" borderId="0" xfId="0" applyFont="1" applyAlignment="1">
      <alignment horizontal="center" vertical="top"/>
    </xf>
    <xf numFmtId="0" fontId="2" fillId="7" borderId="58" xfId="0" applyFont="1" applyFill="1" applyBorder="1" applyAlignment="1">
      <alignment horizontal="center" vertical="top" textRotation="255"/>
    </xf>
    <xf numFmtId="0" fontId="2" fillId="7" borderId="74" xfId="0" applyFont="1" applyFill="1" applyBorder="1" applyAlignment="1">
      <alignment horizontal="center" vertical="top" textRotation="255"/>
    </xf>
    <xf numFmtId="0" fontId="2" fillId="6" borderId="30" xfId="0" applyFont="1" applyFill="1" applyBorder="1" applyAlignment="1">
      <alignment horizontal="center" vertical="top" textRotation="255" shrinkToFit="1"/>
    </xf>
    <xf numFmtId="0" fontId="2" fillId="6" borderId="31" xfId="0" applyFont="1" applyFill="1" applyBorder="1" applyAlignment="1">
      <alignment horizontal="center" vertical="top" textRotation="255" shrinkToFit="1"/>
    </xf>
    <xf numFmtId="0" fontId="2" fillId="6" borderId="32" xfId="0" applyFont="1" applyFill="1" applyBorder="1" applyAlignment="1">
      <alignment horizontal="center" vertical="top" textRotation="255" shrinkToFit="1"/>
    </xf>
    <xf numFmtId="0" fontId="2" fillId="6" borderId="40" xfId="0" applyFont="1" applyFill="1" applyBorder="1" applyAlignment="1">
      <alignment horizontal="center" vertical="top" textRotation="255" shrinkToFit="1"/>
    </xf>
    <xf numFmtId="0" fontId="2" fillId="6" borderId="67" xfId="0" applyFont="1" applyFill="1" applyBorder="1" applyAlignment="1">
      <alignment horizontal="center" vertical="top" textRotation="255" shrinkToFit="1"/>
    </xf>
    <xf numFmtId="0" fontId="2" fillId="6" borderId="86" xfId="0" applyFont="1" applyFill="1" applyBorder="1" applyAlignment="1">
      <alignment horizontal="center" vertical="top" textRotation="255" shrinkToFit="1"/>
    </xf>
    <xf numFmtId="0" fontId="2" fillId="6" borderId="87" xfId="0" applyFont="1" applyFill="1" applyBorder="1" applyAlignment="1">
      <alignment horizontal="center" vertical="top" textRotation="255" shrinkToFit="1"/>
    </xf>
    <xf numFmtId="0" fontId="2" fillId="7" borderId="69" xfId="0" applyFont="1" applyFill="1" applyBorder="1" applyAlignment="1">
      <alignment horizontal="center" vertical="center"/>
    </xf>
    <xf numFmtId="0" fontId="2" fillId="7" borderId="73"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29" xfId="0" applyFont="1" applyFill="1" applyBorder="1" applyAlignment="1">
      <alignment horizontal="center" vertical="center"/>
    </xf>
    <xf numFmtId="0" fontId="2" fillId="7" borderId="21" xfId="0" applyFont="1" applyFill="1" applyBorder="1" applyAlignment="1">
      <alignment horizontal="center" vertical="center"/>
    </xf>
    <xf numFmtId="0" fontId="2" fillId="7" borderId="88" xfId="0" applyFont="1" applyFill="1" applyBorder="1" applyAlignment="1">
      <alignment horizontal="center" vertical="center"/>
    </xf>
    <xf numFmtId="0" fontId="2" fillId="7" borderId="70" xfId="0" applyFont="1" applyFill="1" applyBorder="1" applyAlignment="1">
      <alignment horizontal="center" vertical="center"/>
    </xf>
    <xf numFmtId="0" fontId="2" fillId="6" borderId="80" xfId="0" applyFont="1" applyFill="1" applyBorder="1" applyAlignment="1">
      <alignment horizontal="center" vertical="center"/>
    </xf>
    <xf numFmtId="0" fontId="2" fillId="6" borderId="81" xfId="0" applyFont="1" applyFill="1" applyBorder="1" applyAlignment="1">
      <alignment horizontal="center" vertical="center"/>
    </xf>
    <xf numFmtId="0" fontId="2" fillId="6" borderId="82" xfId="0" applyFont="1" applyFill="1" applyBorder="1" applyAlignment="1">
      <alignment horizontal="center" vertical="center"/>
    </xf>
    <xf numFmtId="0" fontId="2" fillId="6" borderId="83" xfId="0" applyFont="1" applyFill="1" applyBorder="1" applyAlignment="1">
      <alignment horizontal="center" vertical="center"/>
    </xf>
    <xf numFmtId="0" fontId="2" fillId="7" borderId="71" xfId="0" applyFont="1" applyFill="1" applyBorder="1" applyAlignment="1">
      <alignment horizontal="center" vertical="center"/>
    </xf>
    <xf numFmtId="0" fontId="2" fillId="6" borderId="53" xfId="0" applyFont="1" applyFill="1" applyBorder="1" applyAlignment="1">
      <alignment horizontal="center" vertical="center"/>
    </xf>
    <xf numFmtId="0" fontId="2" fillId="6" borderId="54" xfId="0" applyFont="1" applyFill="1" applyBorder="1" applyAlignment="1">
      <alignment horizontal="center" vertical="center"/>
    </xf>
    <xf numFmtId="0" fontId="2" fillId="6" borderId="45" xfId="0" applyFont="1" applyFill="1" applyBorder="1" applyAlignment="1">
      <alignment horizontal="center" vertical="center"/>
    </xf>
    <xf numFmtId="0" fontId="2" fillId="6" borderId="55" xfId="0" applyFont="1" applyFill="1" applyBorder="1" applyAlignment="1">
      <alignment horizontal="center" vertical="center"/>
    </xf>
    <xf numFmtId="0" fontId="2" fillId="7" borderId="72" xfId="0" applyFont="1" applyFill="1" applyBorder="1" applyAlignment="1">
      <alignment horizontal="center" vertical="center"/>
    </xf>
    <xf numFmtId="0" fontId="2" fillId="6" borderId="48" xfId="0" applyFont="1" applyFill="1" applyBorder="1" applyAlignment="1">
      <alignment horizontal="center" vertical="center"/>
    </xf>
    <xf numFmtId="0" fontId="2" fillId="6" borderId="56" xfId="0" applyFont="1" applyFill="1" applyBorder="1" applyAlignment="1">
      <alignment horizontal="center" vertical="center"/>
    </xf>
    <xf numFmtId="0" fontId="2" fillId="6" borderId="51" xfId="0" applyFont="1" applyFill="1" applyBorder="1" applyAlignment="1">
      <alignment horizontal="center" vertical="center"/>
    </xf>
    <xf numFmtId="0" fontId="2" fillId="6" borderId="57" xfId="0" applyFont="1" applyFill="1" applyBorder="1" applyAlignment="1">
      <alignment horizontal="center" vertical="center"/>
    </xf>
    <xf numFmtId="0" fontId="2" fillId="7" borderId="20" xfId="0" applyFont="1" applyFill="1" applyBorder="1" applyAlignment="1">
      <alignment horizontal="center" vertical="center"/>
    </xf>
    <xf numFmtId="0" fontId="2" fillId="7" borderId="75" xfId="0" applyFont="1" applyFill="1" applyBorder="1" applyAlignment="1">
      <alignment horizontal="center" vertical="center"/>
    </xf>
    <xf numFmtId="0" fontId="2" fillId="7" borderId="76" xfId="0" applyFont="1" applyFill="1" applyBorder="1" applyAlignment="1">
      <alignment horizontal="center" vertical="center"/>
    </xf>
    <xf numFmtId="0" fontId="2" fillId="7" borderId="35"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37" xfId="0" applyFont="1" applyFill="1" applyBorder="1" applyAlignment="1">
      <alignment horizontal="center" vertical="center"/>
    </xf>
    <xf numFmtId="0" fontId="2" fillId="7" borderId="33" xfId="0" applyFont="1" applyFill="1" applyBorder="1" applyAlignment="1">
      <alignment horizontal="center" vertical="center"/>
    </xf>
    <xf numFmtId="0" fontId="2" fillId="7" borderId="39" xfId="0" applyFont="1" applyFill="1" applyBorder="1" applyAlignment="1">
      <alignment horizontal="center" vertical="center"/>
    </xf>
    <xf numFmtId="0" fontId="2" fillId="7" borderId="41" xfId="0" applyFont="1" applyFill="1" applyBorder="1" applyAlignment="1">
      <alignment horizontal="center" vertical="center"/>
    </xf>
    <xf numFmtId="0" fontId="2" fillId="7" borderId="42" xfId="0" applyFont="1" applyFill="1" applyBorder="1" applyAlignment="1">
      <alignment horizontal="center" vertical="center"/>
    </xf>
    <xf numFmtId="0" fontId="2" fillId="7" borderId="47" xfId="0" applyFont="1" applyFill="1" applyBorder="1" applyAlignment="1">
      <alignment horizontal="center" vertical="center"/>
    </xf>
    <xf numFmtId="0" fontId="2" fillId="7" borderId="63" xfId="0" applyFont="1" applyFill="1" applyBorder="1" applyAlignment="1">
      <alignment horizontal="center" vertical="center"/>
    </xf>
    <xf numFmtId="0" fontId="2" fillId="7" borderId="62" xfId="0" applyFont="1" applyFill="1" applyBorder="1" applyAlignment="1">
      <alignment horizontal="center" vertical="center"/>
    </xf>
    <xf numFmtId="0" fontId="2" fillId="7" borderId="89" xfId="0" applyFont="1" applyFill="1" applyBorder="1" applyAlignment="1">
      <alignment horizontal="center" vertical="center"/>
    </xf>
    <xf numFmtId="0" fontId="2" fillId="6" borderId="66" xfId="0" applyFont="1" applyFill="1" applyBorder="1" applyAlignment="1">
      <alignment horizontal="center" vertical="center"/>
    </xf>
    <xf numFmtId="0" fontId="2" fillId="6" borderId="84" xfId="0" applyFont="1" applyFill="1" applyBorder="1" applyAlignment="1">
      <alignment horizontal="center" vertical="center"/>
    </xf>
    <xf numFmtId="0" fontId="2" fillId="6" borderId="85" xfId="0" applyFont="1" applyFill="1" applyBorder="1" applyAlignment="1">
      <alignment horizontal="center" vertical="center"/>
    </xf>
    <xf numFmtId="0" fontId="2" fillId="6" borderId="43" xfId="0" applyFont="1" applyFill="1" applyBorder="1" applyAlignment="1">
      <alignment horizontal="center" vertical="center"/>
    </xf>
    <xf numFmtId="0" fontId="2" fillId="6" borderId="44" xfId="0" applyFont="1" applyFill="1" applyBorder="1" applyAlignment="1">
      <alignment horizontal="center" vertical="center"/>
    </xf>
    <xf numFmtId="0" fontId="2" fillId="6" borderId="46" xfId="0" applyFont="1" applyFill="1" applyBorder="1" applyAlignment="1">
      <alignment horizontal="center" vertical="center"/>
    </xf>
    <xf numFmtId="0" fontId="2" fillId="6" borderId="49" xfId="0" applyFont="1" applyFill="1" applyBorder="1" applyAlignment="1">
      <alignment horizontal="center" vertical="center"/>
    </xf>
    <xf numFmtId="0" fontId="2" fillId="6" borderId="50" xfId="0" applyFont="1" applyFill="1" applyBorder="1" applyAlignment="1">
      <alignment horizontal="center" vertical="center"/>
    </xf>
    <xf numFmtId="0" fontId="2" fillId="6" borderId="52" xfId="0" applyFont="1" applyFill="1" applyBorder="1" applyAlignment="1">
      <alignment horizontal="center" vertical="center"/>
    </xf>
    <xf numFmtId="0" fontId="2" fillId="7" borderId="34" xfId="0" applyFont="1" applyFill="1" applyBorder="1" applyAlignment="1">
      <alignment horizontal="center" vertical="center"/>
    </xf>
    <xf numFmtId="0" fontId="2" fillId="7" borderId="77" xfId="0" applyFont="1" applyFill="1" applyBorder="1" applyAlignment="1">
      <alignment horizontal="center" vertical="center"/>
    </xf>
    <xf numFmtId="0" fontId="2" fillId="7" borderId="79"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38" xfId="0" applyFont="1" applyFill="1" applyBorder="1" applyAlignment="1">
      <alignment horizontal="center" vertical="center"/>
    </xf>
    <xf numFmtId="0" fontId="2" fillId="7" borderId="92" xfId="0" applyFont="1" applyFill="1" applyBorder="1" applyAlignment="1">
      <alignment horizontal="center" vertical="center"/>
    </xf>
    <xf numFmtId="0" fontId="2" fillId="7" borderId="96" xfId="0" applyFont="1" applyFill="1" applyBorder="1" applyAlignment="1">
      <alignment horizontal="center" vertical="center"/>
    </xf>
    <xf numFmtId="0" fontId="2" fillId="7" borderId="36" xfId="0" applyFont="1" applyFill="1" applyBorder="1" applyAlignment="1">
      <alignment horizontal="center" vertical="center"/>
    </xf>
    <xf numFmtId="0" fontId="2" fillId="7" borderId="68" xfId="0" applyFont="1" applyFill="1" applyBorder="1" applyAlignment="1">
      <alignment horizontal="center" vertical="center"/>
    </xf>
    <xf numFmtId="49" fontId="4" fillId="6" borderId="90" xfId="0" applyNumberFormat="1" applyFont="1" applyFill="1" applyBorder="1" applyAlignment="1">
      <alignment horizontal="center" vertical="center"/>
    </xf>
    <xf numFmtId="49" fontId="4" fillId="6" borderId="93" xfId="0" applyNumberFormat="1" applyFont="1" applyFill="1" applyBorder="1" applyAlignment="1">
      <alignment horizontal="center" vertical="center"/>
    </xf>
    <xf numFmtId="49" fontId="4" fillId="6" borderId="94" xfId="0" applyNumberFormat="1" applyFont="1" applyFill="1" applyBorder="1" applyAlignment="1">
      <alignment horizontal="center" vertical="center"/>
    </xf>
    <xf numFmtId="49" fontId="4" fillId="6" borderId="95" xfId="0" applyNumberFormat="1" applyFont="1" applyFill="1" applyBorder="1" applyAlignment="1">
      <alignment horizontal="center" vertical="center"/>
    </xf>
    <xf numFmtId="49" fontId="3" fillId="6" borderId="90" xfId="0" applyNumberFormat="1" applyFont="1" applyFill="1" applyBorder="1" applyAlignment="1">
      <alignment horizontal="center" vertical="center"/>
    </xf>
    <xf numFmtId="49" fontId="3" fillId="6" borderId="93" xfId="0" applyNumberFormat="1" applyFont="1" applyFill="1" applyBorder="1" applyAlignment="1">
      <alignment horizontal="center" vertical="center"/>
    </xf>
    <xf numFmtId="49" fontId="3" fillId="6" borderId="94" xfId="0" applyNumberFormat="1" applyFont="1" applyFill="1" applyBorder="1" applyAlignment="1">
      <alignment horizontal="center" vertical="center"/>
    </xf>
    <xf numFmtId="49" fontId="3" fillId="6" borderId="95" xfId="0" applyNumberFormat="1" applyFont="1" applyFill="1" applyBorder="1" applyAlignment="1">
      <alignment horizontal="center" vertical="center"/>
    </xf>
    <xf numFmtId="49" fontId="4" fillId="6" borderId="97" xfId="0" applyNumberFormat="1" applyFont="1" applyFill="1" applyBorder="1" applyAlignment="1">
      <alignment horizontal="center" vertical="center"/>
    </xf>
    <xf numFmtId="49" fontId="4" fillId="6" borderId="98" xfId="0" applyNumberFormat="1" applyFont="1" applyFill="1" applyBorder="1" applyAlignment="1">
      <alignment horizontal="center" vertical="center"/>
    </xf>
    <xf numFmtId="49" fontId="4" fillId="6" borderId="99" xfId="0" applyNumberFormat="1" applyFont="1" applyFill="1" applyBorder="1" applyAlignment="1">
      <alignment horizontal="center" vertical="center"/>
    </xf>
    <xf numFmtId="0" fontId="6" fillId="4" borderId="11" xfId="0" applyFont="1" applyFill="1" applyBorder="1" applyAlignment="1">
      <alignment horizontal="center" vertical="center"/>
    </xf>
    <xf numFmtId="0" fontId="9" fillId="0" borderId="0" xfId="0" applyFont="1" applyAlignment="1">
      <alignment horizontal="center" vertical="top"/>
    </xf>
    <xf numFmtId="177" fontId="10" fillId="0" borderId="1" xfId="0" applyNumberFormat="1" applyFont="1" applyBorder="1" applyAlignment="1">
      <alignment horizontal="center" vertical="top"/>
    </xf>
    <xf numFmtId="177" fontId="10" fillId="0" borderId="2" xfId="0" applyNumberFormat="1" applyFont="1" applyBorder="1" applyAlignment="1">
      <alignment horizontal="center" vertical="top"/>
    </xf>
    <xf numFmtId="177" fontId="10" fillId="0" borderId="15" xfId="0" applyNumberFormat="1" applyFont="1" applyBorder="1" applyAlignment="1">
      <alignment horizontal="center" vertical="top"/>
    </xf>
    <xf numFmtId="177" fontId="10" fillId="0" borderId="16" xfId="0" applyNumberFormat="1" applyFont="1" applyBorder="1" applyAlignment="1">
      <alignment horizontal="center" vertical="top"/>
    </xf>
    <xf numFmtId="177" fontId="10" fillId="0" borderId="4" xfId="0" applyNumberFormat="1" applyFont="1" applyBorder="1" applyAlignment="1">
      <alignment horizontal="center" vertical="top"/>
    </xf>
    <xf numFmtId="0" fontId="9" fillId="5" borderId="1" xfId="0" applyFont="1" applyFill="1" applyBorder="1" applyAlignment="1">
      <alignment horizontal="center" vertical="top"/>
    </xf>
    <xf numFmtId="0" fontId="9" fillId="5" borderId="2" xfId="0" applyFont="1" applyFill="1" applyBorder="1" applyAlignment="1">
      <alignment horizontal="center" vertical="top"/>
    </xf>
    <xf numFmtId="0" fontId="9" fillId="5" borderId="15" xfId="0" applyFont="1" applyFill="1" applyBorder="1" applyAlignment="1">
      <alignment horizontal="center" vertical="top"/>
    </xf>
    <xf numFmtId="0" fontId="9" fillId="5" borderId="16" xfId="0" applyFont="1" applyFill="1" applyBorder="1" applyAlignment="1">
      <alignment horizontal="center" vertical="top"/>
    </xf>
    <xf numFmtId="0" fontId="9" fillId="5" borderId="4" xfId="0" applyFont="1" applyFill="1" applyBorder="1" applyAlignment="1">
      <alignment horizontal="center" vertical="top"/>
    </xf>
    <xf numFmtId="0" fontId="9" fillId="3" borderId="1" xfId="0" applyFont="1" applyFill="1" applyBorder="1" applyAlignment="1">
      <alignment horizontal="center" vertical="top"/>
    </xf>
    <xf numFmtId="0" fontId="9" fillId="3" borderId="2" xfId="0" applyFont="1" applyFill="1" applyBorder="1" applyAlignment="1">
      <alignment horizontal="center" vertical="top"/>
    </xf>
    <xf numFmtId="0" fontId="9" fillId="3" borderId="15" xfId="0" applyFont="1" applyFill="1" applyBorder="1" applyAlignment="1">
      <alignment horizontal="center" vertical="top"/>
    </xf>
    <xf numFmtId="0" fontId="9" fillId="3" borderId="16" xfId="0" applyFont="1" applyFill="1" applyBorder="1" applyAlignment="1">
      <alignment horizontal="center" vertical="top"/>
    </xf>
    <xf numFmtId="0" fontId="9" fillId="3" borderId="4" xfId="0" applyFont="1" applyFill="1" applyBorder="1" applyAlignment="1">
      <alignment horizontal="center" vertical="top"/>
    </xf>
    <xf numFmtId="0" fontId="9" fillId="0" borderId="1" xfId="0" applyFont="1" applyBorder="1" applyAlignment="1">
      <alignment horizontal="center" vertical="top"/>
    </xf>
    <xf numFmtId="0" fontId="9" fillId="0" borderId="2" xfId="0" applyFont="1" applyBorder="1" applyAlignment="1">
      <alignment horizontal="center" vertical="top"/>
    </xf>
    <xf numFmtId="0" fontId="9" fillId="0" borderId="15" xfId="0" applyFont="1" applyBorder="1" applyAlignment="1">
      <alignment horizontal="center" vertical="top"/>
    </xf>
    <xf numFmtId="0" fontId="9" fillId="0" borderId="16" xfId="0" applyFont="1" applyBorder="1" applyAlignment="1">
      <alignment horizontal="center" vertical="top"/>
    </xf>
    <xf numFmtId="0" fontId="9" fillId="0" borderId="4" xfId="0" applyFont="1" applyBorder="1" applyAlignment="1">
      <alignment horizontal="center" vertical="top"/>
    </xf>
    <xf numFmtId="0" fontId="9" fillId="0" borderId="25" xfId="0" applyFont="1" applyBorder="1" applyAlignment="1">
      <alignment horizontal="center" vertical="top"/>
    </xf>
    <xf numFmtId="0" fontId="9" fillId="0" borderId="22" xfId="0" applyFont="1" applyBorder="1" applyAlignment="1">
      <alignment horizontal="center" vertical="top"/>
    </xf>
    <xf numFmtId="0" fontId="9" fillId="0" borderId="27" xfId="0" applyFont="1" applyBorder="1" applyAlignment="1">
      <alignment horizontal="center" vertical="top"/>
    </xf>
    <xf numFmtId="0" fontId="9" fillId="0" borderId="28" xfId="0" applyFont="1" applyBorder="1" applyAlignment="1">
      <alignment horizontal="center" vertical="top"/>
    </xf>
    <xf numFmtId="0" fontId="9" fillId="0" borderId="19" xfId="0" applyFont="1" applyBorder="1" applyAlignment="1">
      <alignment horizontal="center" vertical="top"/>
    </xf>
    <xf numFmtId="3" fontId="9" fillId="0" borderId="6" xfId="0" applyNumberFormat="1" applyFont="1" applyBorder="1" applyAlignment="1">
      <alignment horizontal="center" vertical="top" wrapText="1"/>
    </xf>
    <xf numFmtId="3" fontId="9" fillId="0" borderId="29" xfId="0" applyNumberFormat="1" applyFont="1" applyBorder="1" applyAlignment="1">
      <alignment horizontal="center" vertical="top" wrapText="1"/>
    </xf>
    <xf numFmtId="3" fontId="9" fillId="0" borderId="21" xfId="0" applyNumberFormat="1" applyFont="1" applyBorder="1" applyAlignment="1">
      <alignment horizontal="center" vertical="top" wrapText="1"/>
    </xf>
    <xf numFmtId="3" fontId="9" fillId="0" borderId="26" xfId="0" applyNumberFormat="1" applyFont="1" applyBorder="1" applyAlignment="1">
      <alignment horizontal="center" vertical="top" wrapText="1"/>
    </xf>
    <xf numFmtId="3" fontId="9" fillId="0" borderId="63" xfId="0" applyNumberFormat="1" applyFont="1" applyBorder="1" applyAlignment="1">
      <alignment horizontal="center" vertical="top" wrapText="1"/>
    </xf>
    <xf numFmtId="3" fontId="9" fillId="0" borderId="1" xfId="0" applyNumberFormat="1" applyFont="1" applyBorder="1" applyAlignment="1">
      <alignment horizontal="center" vertical="top" wrapText="1"/>
    </xf>
    <xf numFmtId="3" fontId="9" fillId="0" borderId="2" xfId="0" applyNumberFormat="1" applyFont="1" applyBorder="1" applyAlignment="1">
      <alignment horizontal="center" vertical="top" wrapText="1"/>
    </xf>
    <xf numFmtId="3" fontId="9" fillId="0" borderId="15" xfId="0" applyNumberFormat="1" applyFont="1" applyBorder="1" applyAlignment="1">
      <alignment horizontal="center" vertical="top" wrapText="1"/>
    </xf>
    <xf numFmtId="3" fontId="9" fillId="0" borderId="16" xfId="0" applyNumberFormat="1" applyFont="1" applyBorder="1" applyAlignment="1">
      <alignment horizontal="center" vertical="top" wrapText="1"/>
    </xf>
    <xf numFmtId="3" fontId="9" fillId="0" borderId="4" xfId="0" applyNumberFormat="1" applyFont="1" applyBorder="1" applyAlignment="1">
      <alignment horizontal="center" vertical="top" wrapText="1"/>
    </xf>
    <xf numFmtId="0" fontId="7" fillId="3" borderId="1" xfId="0" applyFont="1" applyFill="1" applyBorder="1" applyAlignment="1">
      <alignment horizontal="center" vertical="center" textRotation="255"/>
    </xf>
    <xf numFmtId="0" fontId="7" fillId="0" borderId="1" xfId="0" applyFont="1" applyBorder="1" applyAlignment="1">
      <alignment horizontal="center" vertical="center" textRotation="255" shrinkToFit="1"/>
    </xf>
    <xf numFmtId="0" fontId="7" fillId="0" borderId="2" xfId="0" applyFont="1" applyBorder="1" applyAlignment="1">
      <alignment horizontal="center" vertical="center" textRotation="255" shrinkToFit="1"/>
    </xf>
    <xf numFmtId="0" fontId="7" fillId="0" borderId="15" xfId="0" applyFont="1" applyBorder="1" applyAlignment="1">
      <alignment horizontal="center" vertical="center" textRotation="255" shrinkToFit="1"/>
    </xf>
    <xf numFmtId="0" fontId="7" fillId="0" borderId="16" xfId="0" applyFont="1" applyBorder="1" applyAlignment="1">
      <alignment horizontal="center" vertical="center" textRotation="255" shrinkToFit="1"/>
    </xf>
    <xf numFmtId="0" fontId="7" fillId="0" borderId="4" xfId="0" applyFont="1" applyBorder="1" applyAlignment="1">
      <alignment horizontal="center" vertical="center" textRotation="255" shrinkToFit="1"/>
    </xf>
    <xf numFmtId="0" fontId="7" fillId="0" borderId="0" xfId="0" applyFont="1" applyBorder="1" applyAlignment="1">
      <alignment horizontal="center" vertical="center" textRotation="255" shrinkToFit="1"/>
    </xf>
    <xf numFmtId="0" fontId="11" fillId="0" borderId="0" xfId="0" applyFont="1" applyAlignment="1">
      <alignment horizontal="center" vertical="center"/>
    </xf>
    <xf numFmtId="0" fontId="12" fillId="8" borderId="0" xfId="0" applyFont="1" applyFill="1" applyBorder="1" applyAlignment="1">
      <alignment horizontal="center" vertical="center"/>
    </xf>
    <xf numFmtId="0" fontId="12" fillId="10" borderId="0" xfId="0" applyFont="1" applyFill="1" applyBorder="1" applyAlignment="1">
      <alignment horizontal="center" vertical="center"/>
    </xf>
    <xf numFmtId="0" fontId="12" fillId="9" borderId="64" xfId="0" applyFont="1" applyFill="1" applyBorder="1" applyAlignment="1">
      <alignment horizontal="center" vertical="center"/>
    </xf>
    <xf numFmtId="0" fontId="12" fillId="9" borderId="23" xfId="0" applyFont="1" applyFill="1" applyBorder="1" applyAlignment="1">
      <alignment horizontal="center" vertical="center"/>
    </xf>
    <xf numFmtId="0" fontId="12" fillId="9" borderId="65" xfId="0" applyFont="1" applyFill="1" applyBorder="1" applyAlignment="1">
      <alignment horizontal="center" vertical="center"/>
    </xf>
    <xf numFmtId="0" fontId="13" fillId="9" borderId="0" xfId="0" applyFont="1" applyFill="1" applyAlignment="1">
      <alignment horizontal="center" vertical="center"/>
    </xf>
    <xf numFmtId="0" fontId="12" fillId="8" borderId="64" xfId="0" applyFont="1" applyFill="1" applyBorder="1" applyAlignment="1">
      <alignment horizontal="center" vertical="center"/>
    </xf>
    <xf numFmtId="0" fontId="12" fillId="8" borderId="23" xfId="0" applyFont="1" applyFill="1" applyBorder="1" applyAlignment="1">
      <alignment horizontal="center" vertical="center"/>
    </xf>
    <xf numFmtId="0" fontId="12" fillId="8" borderId="65" xfId="0" applyFont="1" applyFill="1" applyBorder="1" applyAlignment="1">
      <alignment horizontal="center" vertical="center"/>
    </xf>
    <xf numFmtId="0" fontId="12" fillId="10" borderId="64" xfId="0" applyFont="1" applyFill="1" applyBorder="1" applyAlignment="1">
      <alignment horizontal="center" vertical="center"/>
    </xf>
    <xf numFmtId="0" fontId="12" fillId="10" borderId="23" xfId="0" applyFont="1" applyFill="1" applyBorder="1" applyAlignment="1">
      <alignment horizontal="center" vertical="center"/>
    </xf>
    <xf numFmtId="0" fontId="12" fillId="10" borderId="65" xfId="0" applyFont="1" applyFill="1" applyBorder="1" applyAlignment="1">
      <alignment horizontal="center" vertical="center"/>
    </xf>
    <xf numFmtId="0" fontId="12" fillId="4" borderId="11" xfId="0" applyFont="1" applyFill="1" applyBorder="1" applyAlignment="1">
      <alignment horizontal="center" vertical="center"/>
    </xf>
    <xf numFmtId="0" fontId="12" fillId="4" borderId="14"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1" xfId="0" applyFont="1" applyFill="1" applyBorder="1" applyAlignment="1">
      <alignment vertical="center"/>
    </xf>
    <xf numFmtId="0" fontId="11" fillId="0" borderId="1" xfId="0" applyFont="1" applyFill="1" applyBorder="1" applyAlignment="1"/>
    <xf numFmtId="0" fontId="11" fillId="0" borderId="7"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5" xfId="0" applyFont="1" applyFill="1" applyBorder="1" applyAlignment="1"/>
    <xf numFmtId="0" fontId="11" fillId="0" borderId="2" xfId="0" applyFont="1" applyFill="1" applyBorder="1" applyAlignment="1">
      <alignment horizontal="center" vertical="center"/>
    </xf>
    <xf numFmtId="0" fontId="5" fillId="0" borderId="0" xfId="0" applyFont="1"/>
    <xf numFmtId="0" fontId="6" fillId="9" borderId="59" xfId="0" applyFont="1" applyFill="1" applyBorder="1" applyAlignment="1">
      <alignment horizontal="center" vertical="center"/>
    </xf>
    <xf numFmtId="0" fontId="14" fillId="9" borderId="60" xfId="0" applyFont="1" applyFill="1" applyBorder="1" applyAlignment="1">
      <alignment horizontal="center"/>
    </xf>
    <xf numFmtId="0" fontId="6" fillId="9" borderId="61" xfId="0" applyFont="1" applyFill="1" applyBorder="1" applyAlignment="1">
      <alignment horizontal="center" vertical="center"/>
    </xf>
    <xf numFmtId="0" fontId="6" fillId="8" borderId="59" xfId="0" applyFont="1" applyFill="1" applyBorder="1" applyAlignment="1">
      <alignment horizontal="center" vertical="center"/>
    </xf>
    <xf numFmtId="0" fontId="14" fillId="8" borderId="60" xfId="0" applyFont="1" applyFill="1" applyBorder="1" applyAlignment="1">
      <alignment horizontal="center"/>
    </xf>
    <xf numFmtId="0" fontId="6" fillId="8" borderId="61" xfId="0" applyFont="1" applyFill="1" applyBorder="1" applyAlignment="1">
      <alignment horizontal="center" vertical="center"/>
    </xf>
    <xf numFmtId="0" fontId="14" fillId="10" borderId="59" xfId="0" applyFont="1" applyFill="1" applyBorder="1" applyAlignment="1">
      <alignment horizontal="center" vertical="center"/>
    </xf>
    <xf numFmtId="0" fontId="14" fillId="10" borderId="60" xfId="0" applyFont="1" applyFill="1" applyBorder="1" applyAlignment="1">
      <alignment horizontal="center"/>
    </xf>
    <xf numFmtId="0" fontId="14" fillId="10" borderId="61" xfId="0" applyFont="1" applyFill="1" applyBorder="1" applyAlignment="1">
      <alignment horizontal="center" vertical="center"/>
    </xf>
    <xf numFmtId="0" fontId="14" fillId="2" borderId="1" xfId="0" applyFont="1" applyFill="1" applyBorder="1" applyAlignment="1">
      <alignment horizontal="center"/>
    </xf>
    <xf numFmtId="0" fontId="14" fillId="2" borderId="5" xfId="0" applyFont="1" applyFill="1" applyBorder="1" applyAlignment="1">
      <alignment horizontal="center"/>
    </xf>
    <xf numFmtId="0" fontId="6" fillId="4" borderId="23" xfId="0" applyFont="1" applyFill="1" applyBorder="1" applyAlignment="1">
      <alignment horizontal="center" vertical="center"/>
    </xf>
    <xf numFmtId="0" fontId="14" fillId="2" borderId="0" xfId="0" applyFont="1" applyFill="1" applyBorder="1" applyAlignment="1">
      <alignment horizontal="center"/>
    </xf>
    <xf numFmtId="0" fontId="5" fillId="0" borderId="1" xfId="0" applyFont="1" applyBorder="1" applyAlignment="1">
      <alignment horizontal="center" vertical="center"/>
    </xf>
    <xf numFmtId="0" fontId="5" fillId="0" borderId="1" xfId="0" applyFont="1" applyBorder="1" applyAlignment="1">
      <alignment vertical="center"/>
    </xf>
    <xf numFmtId="176" fontId="5" fillId="0" borderId="1" xfId="0" applyNumberFormat="1" applyFont="1" applyBorder="1" applyAlignment="1">
      <alignment horizontal="center" vertical="center"/>
    </xf>
    <xf numFmtId="0" fontId="5" fillId="0" borderId="0" xfId="0" applyNumberFormat="1" applyFont="1" applyBorder="1" applyAlignment="1">
      <alignment horizontal="center" vertical="center"/>
    </xf>
    <xf numFmtId="0" fontId="5" fillId="0" borderId="1" xfId="0" applyNumberFormat="1" applyFont="1" applyBorder="1" applyAlignment="1">
      <alignment horizontal="center" vertical="center"/>
    </xf>
    <xf numFmtId="176" fontId="5" fillId="0" borderId="1" xfId="0" applyNumberFormat="1" applyFont="1" applyBorder="1" applyAlignment="1">
      <alignment vertical="center"/>
    </xf>
    <xf numFmtId="0" fontId="5" fillId="0" borderId="1" xfId="0" applyFont="1" applyBorder="1" applyAlignment="1"/>
    <xf numFmtId="0" fontId="5" fillId="0" borderId="1" xfId="0" applyFont="1" applyBorder="1" applyAlignment="1">
      <alignment horizontal="center"/>
    </xf>
    <xf numFmtId="0" fontId="5" fillId="0" borderId="1" xfId="0" applyFont="1" applyBorder="1"/>
    <xf numFmtId="176" fontId="5" fillId="0" borderId="1" xfId="0" applyNumberFormat="1" applyFont="1" applyBorder="1" applyAlignment="1">
      <alignment horizontal="center"/>
    </xf>
    <xf numFmtId="176" fontId="5" fillId="0" borderId="5" xfId="0" applyNumberFormat="1" applyFont="1" applyBorder="1" applyAlignment="1">
      <alignment vertical="center"/>
    </xf>
    <xf numFmtId="0" fontId="5" fillId="0" borderId="5" xfId="0" applyNumberFormat="1" applyFont="1" applyBorder="1" applyAlignment="1">
      <alignment horizontal="center" vertical="center"/>
    </xf>
    <xf numFmtId="0" fontId="5" fillId="0" borderId="5" xfId="0" applyFont="1" applyBorder="1" applyAlignment="1"/>
    <xf numFmtId="176" fontId="5" fillId="0" borderId="5" xfId="0" applyNumberFormat="1"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vertical="center"/>
    </xf>
    <xf numFmtId="0" fontId="10" fillId="0" borderId="4" xfId="0" applyFont="1" applyBorder="1" applyAlignment="1">
      <alignment horizontal="center" vertical="top"/>
    </xf>
    <xf numFmtId="0" fontId="10" fillId="0" borderId="1" xfId="0" applyFont="1" applyBorder="1" applyAlignment="1">
      <alignment horizontal="center" vertical="top"/>
    </xf>
    <xf numFmtId="0" fontId="10" fillId="0" borderId="15" xfId="0" applyFont="1" applyBorder="1" applyAlignment="1">
      <alignment horizontal="center" vertical="top"/>
    </xf>
    <xf numFmtId="0" fontId="10" fillId="0" borderId="16" xfId="0" applyFont="1" applyBorder="1" applyAlignment="1">
      <alignment horizontal="center" vertical="top"/>
    </xf>
    <xf numFmtId="0" fontId="10" fillId="0" borderId="2" xfId="0" applyFont="1" applyBorder="1" applyAlignment="1">
      <alignment horizontal="center" vertical="top"/>
    </xf>
    <xf numFmtId="0" fontId="8" fillId="0" borderId="3" xfId="0" applyFont="1" applyBorder="1" applyAlignment="1">
      <alignment horizontal="center" vertical="top"/>
    </xf>
    <xf numFmtId="0" fontId="8" fillId="0" borderId="4" xfId="0" applyFont="1" applyBorder="1" applyAlignment="1">
      <alignment horizontal="center" vertical="top"/>
    </xf>
    <xf numFmtId="0" fontId="8" fillId="0" borderId="2" xfId="0" applyFont="1" applyBorder="1" applyAlignment="1">
      <alignment horizontal="center" vertical="top"/>
    </xf>
    <xf numFmtId="0" fontId="8" fillId="0" borderId="17" xfId="0" applyFont="1" applyBorder="1" applyAlignment="1">
      <alignment horizontal="center" vertical="top"/>
    </xf>
    <xf numFmtId="0" fontId="8" fillId="0" borderId="18" xfId="0" applyFont="1" applyBorder="1" applyAlignment="1">
      <alignment horizontal="center" vertical="top"/>
    </xf>
    <xf numFmtId="0" fontId="12" fillId="8" borderId="8" xfId="0" applyFont="1" applyFill="1" applyBorder="1" applyAlignment="1">
      <alignment horizontal="center" vertical="center"/>
    </xf>
    <xf numFmtId="0" fontId="12" fillId="8" borderId="9" xfId="0" applyFont="1" applyFill="1" applyBorder="1" applyAlignment="1">
      <alignment horizontal="center" vertical="center"/>
    </xf>
    <xf numFmtId="0" fontId="12" fillId="8" borderId="10" xfId="0" applyFont="1" applyFill="1" applyBorder="1" applyAlignment="1">
      <alignment horizontal="center" vertical="center"/>
    </xf>
    <xf numFmtId="0" fontId="12" fillId="10" borderId="8" xfId="0" applyFont="1" applyFill="1" applyBorder="1" applyAlignment="1">
      <alignment horizontal="center" vertical="center"/>
    </xf>
    <xf numFmtId="0" fontId="12" fillId="10" borderId="9" xfId="0" applyFont="1" applyFill="1" applyBorder="1" applyAlignment="1">
      <alignment horizontal="center" vertical="center"/>
    </xf>
    <xf numFmtId="0" fontId="12" fillId="10" borderId="10" xfId="0" applyFont="1" applyFill="1" applyBorder="1" applyAlignment="1">
      <alignment horizontal="center" vertical="center"/>
    </xf>
    <xf numFmtId="0" fontId="12" fillId="9" borderId="8" xfId="0" applyFont="1" applyFill="1" applyBorder="1" applyAlignment="1">
      <alignment horizontal="center" vertical="center"/>
    </xf>
    <xf numFmtId="0" fontId="12" fillId="9" borderId="9" xfId="0" applyFont="1" applyFill="1" applyBorder="1" applyAlignment="1">
      <alignment horizontal="center" vertical="center"/>
    </xf>
    <xf numFmtId="0" fontId="12" fillId="9" borderId="10"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13" xfId="0" applyFont="1" applyFill="1" applyBorder="1" applyAlignment="1">
      <alignment horizontal="center" vertical="center"/>
    </xf>
    <xf numFmtId="0" fontId="6" fillId="9" borderId="8" xfId="0" applyFont="1" applyFill="1" applyBorder="1" applyAlignment="1">
      <alignment horizontal="center" vertical="center"/>
    </xf>
    <xf numFmtId="0" fontId="6" fillId="9" borderId="9" xfId="0" applyFont="1" applyFill="1" applyBorder="1" applyAlignment="1">
      <alignment horizontal="center" vertical="center"/>
    </xf>
    <xf numFmtId="0" fontId="6" fillId="9" borderId="10" xfId="0" applyFont="1" applyFill="1" applyBorder="1" applyAlignment="1">
      <alignment horizontal="center" vertical="center"/>
    </xf>
    <xf numFmtId="0" fontId="6" fillId="8" borderId="8" xfId="0" applyFont="1" applyFill="1" applyBorder="1" applyAlignment="1">
      <alignment horizontal="center" vertical="center"/>
    </xf>
    <xf numFmtId="0" fontId="6" fillId="8" borderId="9" xfId="0" applyFont="1" applyFill="1" applyBorder="1" applyAlignment="1">
      <alignment horizontal="center" vertical="center"/>
    </xf>
    <xf numFmtId="0" fontId="6" fillId="8" borderId="10" xfId="0" applyFont="1" applyFill="1" applyBorder="1" applyAlignment="1">
      <alignment horizontal="center" vertical="center"/>
    </xf>
    <xf numFmtId="0" fontId="14" fillId="10" borderId="8" xfId="0" applyFont="1" applyFill="1" applyBorder="1" applyAlignment="1">
      <alignment horizontal="center" vertical="center"/>
    </xf>
    <xf numFmtId="0" fontId="14" fillId="10" borderId="9" xfId="0" applyFont="1" applyFill="1" applyBorder="1" applyAlignment="1">
      <alignment horizontal="center" vertical="center"/>
    </xf>
    <xf numFmtId="0" fontId="14" fillId="10" borderId="10" xfId="0" applyFont="1" applyFill="1" applyBorder="1" applyAlignment="1">
      <alignment horizontal="center" vertical="center"/>
    </xf>
    <xf numFmtId="0" fontId="2" fillId="0" borderId="78" xfId="0" applyFont="1" applyBorder="1" applyAlignment="1">
      <alignment horizontal="center" vertical="center"/>
    </xf>
    <xf numFmtId="0" fontId="2" fillId="0" borderId="77" xfId="0" applyFont="1" applyBorder="1" applyAlignment="1">
      <alignment horizontal="center" vertical="center"/>
    </xf>
    <xf numFmtId="0" fontId="2" fillId="0" borderId="79" xfId="0" applyFont="1" applyBorder="1" applyAlignment="1">
      <alignment horizontal="center" vertical="center"/>
    </xf>
    <xf numFmtId="0" fontId="2" fillId="0" borderId="75" xfId="0" applyFont="1" applyBorder="1" applyAlignment="1">
      <alignment horizontal="center" vertical="center"/>
    </xf>
    <xf numFmtId="176" fontId="3" fillId="7" borderId="17" xfId="0" applyNumberFormat="1" applyFont="1" applyFill="1" applyBorder="1" applyAlignment="1">
      <alignment horizontal="center" vertical="center"/>
    </xf>
    <xf numFmtId="176" fontId="3" fillId="7" borderId="3" xfId="0" applyNumberFormat="1" applyFont="1" applyFill="1" applyBorder="1" applyAlignment="1">
      <alignment horizontal="center" vertical="center"/>
    </xf>
    <xf numFmtId="176" fontId="3" fillId="7" borderId="38" xfId="0" applyNumberFormat="1" applyFont="1" applyFill="1" applyBorder="1" applyAlignment="1">
      <alignment horizontal="center" vertical="center"/>
    </xf>
    <xf numFmtId="176" fontId="3" fillId="7" borderId="2" xfId="0" applyNumberFormat="1" applyFont="1" applyFill="1" applyBorder="1" applyAlignment="1">
      <alignment horizontal="center" vertical="center"/>
    </xf>
    <xf numFmtId="0" fontId="9" fillId="0" borderId="100" xfId="0" applyFont="1" applyBorder="1" applyAlignment="1">
      <alignment horizontal="center" vertical="top"/>
    </xf>
    <xf numFmtId="0" fontId="9" fillId="0" borderId="101" xfId="0" applyFont="1" applyBorder="1" applyAlignment="1">
      <alignment horizontal="center" vertical="top"/>
    </xf>
    <xf numFmtId="0" fontId="9" fillId="0" borderId="102" xfId="0" applyFont="1" applyBorder="1" applyAlignment="1">
      <alignment horizontal="center" vertical="top"/>
    </xf>
    <xf numFmtId="0" fontId="9" fillId="0" borderId="103" xfId="0" applyFont="1" applyBorder="1" applyAlignment="1">
      <alignment horizontal="center" vertical="top"/>
    </xf>
    <xf numFmtId="0" fontId="9" fillId="0" borderId="104" xfId="0" applyFont="1" applyBorder="1" applyAlignment="1">
      <alignment horizontal="center" vertical="top"/>
    </xf>
    <xf numFmtId="0" fontId="9" fillId="0" borderId="105" xfId="0" applyFont="1" applyBorder="1" applyAlignment="1">
      <alignment horizontal="center" vertical="top"/>
    </xf>
    <xf numFmtId="0" fontId="9" fillId="0" borderId="106" xfId="0" applyFont="1" applyBorder="1" applyAlignment="1">
      <alignment horizontal="center" vertical="top"/>
    </xf>
    <xf numFmtId="0" fontId="9" fillId="0" borderId="107" xfId="0" applyFont="1" applyBorder="1" applyAlignment="1">
      <alignment horizontal="center" vertical="top"/>
    </xf>
    <xf numFmtId="0" fontId="9" fillId="0" borderId="108" xfId="0" applyFont="1" applyBorder="1" applyAlignment="1">
      <alignment horizontal="center" vertical="top"/>
    </xf>
    <xf numFmtId="0" fontId="9" fillId="0" borderId="109" xfId="0" applyFont="1" applyBorder="1" applyAlignment="1">
      <alignment horizontal="center" vertical="top"/>
    </xf>
    <xf numFmtId="0" fontId="9" fillId="0" borderId="110" xfId="0" applyFont="1" applyBorder="1" applyAlignment="1">
      <alignment horizontal="center" vertical="top"/>
    </xf>
    <xf numFmtId="0" fontId="9" fillId="0" borderId="111" xfId="0" applyFont="1" applyBorder="1" applyAlignment="1">
      <alignment horizontal="center" vertical="top"/>
    </xf>
    <xf numFmtId="0" fontId="9" fillId="0" borderId="112" xfId="0" applyFont="1" applyBorder="1" applyAlignment="1">
      <alignment horizontal="center" vertical="top"/>
    </xf>
    <xf numFmtId="0" fontId="9" fillId="0" borderId="113" xfId="0" applyFont="1" applyBorder="1" applyAlignment="1">
      <alignment horizontal="center" vertical="top"/>
    </xf>
    <xf numFmtId="0" fontId="9" fillId="0" borderId="114" xfId="0" applyFont="1" applyBorder="1" applyAlignment="1">
      <alignment horizontal="center" vertical="top"/>
    </xf>
    <xf numFmtId="0" fontId="15" fillId="0" borderId="3" xfId="0" applyFont="1" applyBorder="1" applyAlignment="1">
      <alignment horizontal="center" vertical="top"/>
    </xf>
    <xf numFmtId="0" fontId="15" fillId="0" borderId="4" xfId="0" applyFont="1" applyBorder="1" applyAlignment="1">
      <alignment horizontal="center" vertical="top"/>
    </xf>
    <xf numFmtId="0" fontId="15" fillId="0" borderId="17" xfId="0" applyFont="1" applyBorder="1" applyAlignment="1">
      <alignment horizontal="center" vertical="top"/>
    </xf>
    <xf numFmtId="0" fontId="15" fillId="0" borderId="18" xfId="0" applyFont="1" applyBorder="1" applyAlignment="1">
      <alignment horizontal="center" vertical="top"/>
    </xf>
    <xf numFmtId="0" fontId="7" fillId="3" borderId="1" xfId="0" applyFont="1" applyFill="1" applyBorder="1" applyAlignment="1">
      <alignment horizontal="center" vertical="center"/>
    </xf>
    <xf numFmtId="0" fontId="7" fillId="3" borderId="25" xfId="0" applyFont="1" applyFill="1" applyBorder="1" applyAlignment="1">
      <alignment horizontal="center" vertical="center"/>
    </xf>
    <xf numFmtId="0" fontId="7" fillId="3" borderId="6" xfId="0" applyFont="1" applyFill="1" applyBorder="1" applyAlignment="1">
      <alignment horizontal="center" vertical="center"/>
    </xf>
    <xf numFmtId="0" fontId="9" fillId="0" borderId="0" xfId="0" applyFont="1" applyAlignment="1">
      <alignment horizontal="center" vertical="center"/>
    </xf>
    <xf numFmtId="0" fontId="16" fillId="0" borderId="5" xfId="0" applyFont="1" applyBorder="1" applyAlignment="1">
      <alignment horizontal="center" vertical="center" textRotation="255"/>
    </xf>
    <xf numFmtId="0" fontId="16" fillId="0" borderId="24" xfId="0" applyFont="1" applyBorder="1" applyAlignment="1">
      <alignment horizontal="center" vertical="center" textRotation="255"/>
    </xf>
    <xf numFmtId="0" fontId="16" fillId="0" borderId="6" xfId="0" applyFont="1" applyBorder="1" applyAlignment="1">
      <alignment horizontal="center" vertical="center" textRotation="255"/>
    </xf>
    <xf numFmtId="0" fontId="17" fillId="0" borderId="0" xfId="0" applyFont="1"/>
    <xf numFmtId="0" fontId="17" fillId="0" borderId="0" xfId="0" applyFont="1" applyAlignment="1">
      <alignment horizontal="center"/>
    </xf>
    <xf numFmtId="0" fontId="17" fillId="0" borderId="1" xfId="0" applyFont="1" applyBorder="1" applyAlignment="1">
      <alignment horizontal="center" vertical="top"/>
    </xf>
    <xf numFmtId="0" fontId="17" fillId="0" borderId="1" xfId="0" applyFont="1" applyBorder="1"/>
    <xf numFmtId="0" fontId="17" fillId="0" borderId="1" xfId="0" applyFont="1" applyBorder="1" applyAlignment="1">
      <alignment horizontal="center"/>
    </xf>
    <xf numFmtId="0" fontId="18" fillId="0" borderId="1" xfId="0" applyFont="1" applyBorder="1" applyAlignment="1">
      <alignment horizontal="center"/>
    </xf>
    <xf numFmtId="0" fontId="17" fillId="0" borderId="1" xfId="0" applyFont="1" applyBorder="1" applyAlignment="1">
      <alignment horizontal="center" vertical="top"/>
    </xf>
    <xf numFmtId="0" fontId="17" fillId="0" borderId="7" xfId="0" applyFont="1" applyBorder="1" applyAlignment="1">
      <alignment horizontal="center"/>
    </xf>
    <xf numFmtId="0" fontId="17" fillId="0" borderId="115" xfId="0" applyFont="1" applyBorder="1" applyAlignment="1">
      <alignment horizontal="center"/>
    </xf>
    <xf numFmtId="0" fontId="17" fillId="0" borderId="117" xfId="0" applyFont="1" applyBorder="1" applyAlignment="1">
      <alignment horizontal="center"/>
    </xf>
    <xf numFmtId="0" fontId="17" fillId="0" borderId="116" xfId="0" applyFont="1" applyBorder="1" applyAlignment="1">
      <alignment horizontal="center"/>
    </xf>
    <xf numFmtId="0" fontId="17" fillId="0" borderId="29" xfId="0" applyFont="1" applyBorder="1" applyAlignment="1">
      <alignment horizontal="center"/>
    </xf>
    <xf numFmtId="0" fontId="17" fillId="0" borderId="63" xfId="0" applyFont="1" applyBorder="1" applyAlignment="1">
      <alignment horizontal="center"/>
    </xf>
    <xf numFmtId="0" fontId="17" fillId="0" borderId="1" xfId="0" applyFont="1" applyBorder="1" applyAlignment="1">
      <alignment horizontal="left" indent="1"/>
    </xf>
    <xf numFmtId="0" fontId="17" fillId="7" borderId="1" xfId="0" applyFont="1" applyFill="1" applyBorder="1" applyAlignment="1">
      <alignment horizontal="center"/>
    </xf>
    <xf numFmtId="0" fontId="17" fillId="7" borderId="1" xfId="0" applyFont="1" applyFill="1" applyBorder="1" applyAlignment="1">
      <alignment horizontal="center"/>
    </xf>
    <xf numFmtId="0" fontId="17" fillId="0" borderId="5" xfId="0" applyFont="1" applyBorder="1" applyAlignment="1">
      <alignment horizontal="center"/>
    </xf>
    <xf numFmtId="0" fontId="17" fillId="0" borderId="24" xfId="0" applyFont="1" applyBorder="1" applyAlignment="1">
      <alignment horizontal="center"/>
    </xf>
    <xf numFmtId="0" fontId="17" fillId="0" borderId="6" xfId="0" applyFont="1" applyBorder="1" applyAlignment="1">
      <alignment horizontal="center"/>
    </xf>
    <xf numFmtId="0" fontId="19" fillId="7" borderId="1" xfId="0" applyFont="1" applyFill="1" applyBorder="1" applyAlignment="1">
      <alignment horizontal="center" vertical="center" shrinkToFit="1"/>
    </xf>
    <xf numFmtId="0" fontId="21" fillId="2" borderId="1" xfId="0" applyFont="1" applyFill="1" applyBorder="1" applyAlignment="1">
      <alignment horizontal="center"/>
    </xf>
    <xf numFmtId="0" fontId="17" fillId="0" borderId="24" xfId="0" applyFont="1" applyBorder="1" applyAlignment="1">
      <alignment vertical="top"/>
    </xf>
    <xf numFmtId="0" fontId="17" fillId="0" borderId="6" xfId="0" applyFont="1" applyBorder="1"/>
    <xf numFmtId="0" fontId="20" fillId="0" borderId="24" xfId="0" applyFont="1" applyBorder="1" applyAlignment="1">
      <alignment vertical="top"/>
    </xf>
    <xf numFmtId="0" fontId="20" fillId="0" borderId="90" xfId="0" applyFont="1" applyBorder="1" applyAlignment="1">
      <alignment vertical="top"/>
    </xf>
    <xf numFmtId="0" fontId="17" fillId="0" borderId="91" xfId="0" applyFont="1" applyBorder="1" applyAlignment="1">
      <alignment horizontal="center" vertical="top"/>
    </xf>
    <xf numFmtId="0" fontId="17" fillId="0" borderId="6" xfId="0" applyFont="1" applyBorder="1" applyAlignment="1">
      <alignment horizontal="center" vertical="top"/>
    </xf>
    <xf numFmtId="0" fontId="17" fillId="0" borderId="91" xfId="0" applyFont="1" applyBorder="1"/>
    <xf numFmtId="0" fontId="17" fillId="0" borderId="91" xfId="0" applyFont="1" applyBorder="1" applyAlignment="1">
      <alignment horizontal="center"/>
    </xf>
    <xf numFmtId="0" fontId="20" fillId="0" borderId="6" xfId="0" applyFont="1" applyBorder="1" applyAlignment="1">
      <alignment vertical="top"/>
    </xf>
    <xf numFmtId="0" fontId="9" fillId="0" borderId="0" xfId="0" applyFont="1" applyBorder="1" applyAlignment="1">
      <alignment horizontal="center" vertical="top"/>
    </xf>
    <xf numFmtId="0" fontId="15" fillId="0" borderId="2" xfId="0" applyFont="1" applyBorder="1" applyAlignment="1">
      <alignment horizontal="center" vertical="top"/>
    </xf>
    <xf numFmtId="0" fontId="9" fillId="0" borderId="116" xfId="0" applyFont="1" applyBorder="1" applyAlignment="1">
      <alignment horizontal="center" vertical="top"/>
    </xf>
  </cellXfs>
  <cellStyles count="1">
    <cellStyle name="標準" xfId="0" builtinId="0"/>
  </cellStyles>
  <dxfs count="59">
    <dxf>
      <font>
        <color auto="1"/>
      </font>
      <fill>
        <patternFill>
          <bgColor rgb="FFFFE7E7"/>
        </patternFill>
      </fill>
    </dxf>
    <dxf>
      <fill>
        <patternFill>
          <bgColor rgb="FFDDF4FF"/>
        </patternFill>
      </fill>
    </dxf>
    <dxf>
      <font>
        <color auto="1"/>
      </font>
      <fill>
        <patternFill>
          <bgColor rgb="FFFFE7E7"/>
        </patternFill>
      </fill>
    </dxf>
    <dxf>
      <fill>
        <patternFill>
          <bgColor rgb="FFDDF4FF"/>
        </patternFill>
      </fill>
    </dxf>
    <dxf>
      <font>
        <color auto="1"/>
      </font>
      <fill>
        <patternFill>
          <bgColor rgb="FFFFE7E7"/>
        </patternFill>
      </fill>
    </dxf>
    <dxf>
      <fill>
        <patternFill>
          <bgColor rgb="FFDDF4FF"/>
        </patternFill>
      </fill>
    </dxf>
    <dxf>
      <font>
        <b val="0"/>
        <i val="0"/>
        <strike val="0"/>
        <condense val="0"/>
        <extend val="0"/>
        <outline val="0"/>
        <shadow val="0"/>
        <u val="none"/>
        <vertAlign val="baseline"/>
        <sz val="14"/>
        <color theme="1"/>
        <name val="メイリオ"/>
        <family val="3"/>
        <charset val="128"/>
        <scheme val="none"/>
      </font>
      <numFmt numFmtId="176" formatCode="General\ &quot;中&quo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メイリオ"/>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メイリオ"/>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0" tint="-4.9989318521683403E-2"/>
        </top>
        <bottom style="thin">
          <color indexed="64"/>
        </bottom>
      </border>
    </dxf>
    <dxf>
      <font>
        <strike val="0"/>
        <outline val="0"/>
        <shadow val="0"/>
        <u val="none"/>
        <vertAlign val="baseline"/>
        <sz val="14"/>
        <name val="メイリオ"/>
        <family val="3"/>
        <charset val="128"/>
        <scheme val="none"/>
      </font>
    </dxf>
    <dxf>
      <border outline="0">
        <bottom style="thin">
          <color indexed="64"/>
        </bottom>
      </border>
    </dxf>
    <dxf>
      <font>
        <b/>
        <i val="0"/>
        <strike val="0"/>
        <condense val="0"/>
        <extend val="0"/>
        <outline val="0"/>
        <shadow val="0"/>
        <u val="none"/>
        <vertAlign val="baseline"/>
        <sz val="14"/>
        <color theme="0" tint="-4.9989318521683403E-2"/>
        <name val="メイリオ"/>
        <family val="3"/>
        <charset val="128"/>
        <scheme val="none"/>
      </font>
      <fill>
        <patternFill patternType="solid">
          <fgColor indexed="64"/>
          <bgColor theme="9" tint="-0.249977111117893"/>
        </patternFill>
      </fill>
      <alignment horizontal="center" vertical="bottom" textRotation="0" wrapText="0" indent="0" justifyLastLine="0" shrinkToFit="0" readingOrder="0"/>
      <border diagonalUp="0" diagonalDown="0" outline="0">
        <left style="thin">
          <color theme="0" tint="-4.9989318521683403E-2"/>
        </left>
        <right style="thin">
          <color theme="0" tint="-4.9989318521683403E-2"/>
        </right>
        <top/>
        <bottom/>
      </border>
    </dxf>
    <dxf>
      <font>
        <b val="0"/>
        <i val="0"/>
        <strike val="0"/>
        <condense val="0"/>
        <extend val="0"/>
        <outline val="0"/>
        <shadow val="0"/>
        <u val="none"/>
        <vertAlign val="baseline"/>
        <sz val="14"/>
        <color theme="1"/>
        <name val="メイリオ"/>
        <family val="3"/>
        <charset val="128"/>
        <scheme val="none"/>
      </font>
      <numFmt numFmtId="176" formatCode="General\ &quot;中&quo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メイリオ"/>
        <family val="3"/>
        <charset val="128"/>
        <scheme val="none"/>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メイリオ"/>
        <family val="3"/>
        <charset val="128"/>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メイリオ"/>
        <family val="3"/>
        <charset val="128"/>
        <scheme val="none"/>
      </font>
      <numFmt numFmtId="176" formatCode="General\ &quot;中&quo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メイリオ"/>
        <family val="3"/>
        <charset val="128"/>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0" tint="-4.9989318521683403E-2"/>
        </top>
        <bottom style="thin">
          <color indexed="64"/>
        </bottom>
      </border>
    </dxf>
    <dxf>
      <font>
        <b val="0"/>
        <i val="0"/>
        <strike val="0"/>
        <condense val="0"/>
        <extend val="0"/>
        <outline val="0"/>
        <shadow val="0"/>
        <u val="none"/>
        <vertAlign val="baseline"/>
        <sz val="14"/>
        <color theme="1"/>
        <name val="メイリオ"/>
        <family val="3"/>
        <charset val="128"/>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0" tint="-4.9989318521683403E-2"/>
        <name val="メイリオ"/>
        <family val="3"/>
        <charset val="128"/>
        <scheme val="none"/>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theme="0" tint="-4.9989318521683403E-2"/>
        </left>
        <right style="thin">
          <color theme="0" tint="-4.9989318521683403E-2"/>
        </right>
        <top/>
        <bottom/>
      </border>
    </dxf>
    <dxf>
      <font>
        <strike val="0"/>
        <outline val="0"/>
        <shadow val="0"/>
        <u val="none"/>
        <vertAlign val="baseline"/>
        <sz val="14"/>
        <name val="メイリオ"/>
        <family val="3"/>
        <charset val="128"/>
        <scheme val="none"/>
      </font>
      <numFmt numFmtId="176" formatCode="General\ &quot;中&quo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メイリオ"/>
        <family val="3"/>
        <charset val="128"/>
        <scheme val="none"/>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メイリオ"/>
        <family val="3"/>
        <charset val="128"/>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メイリオ"/>
        <family val="3"/>
        <charset val="128"/>
        <scheme val="none"/>
      </font>
      <numFmt numFmtId="176" formatCode="General\ &quot;中&quo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メイリオ"/>
        <family val="3"/>
        <charset val="128"/>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0" tint="-4.9989318521683403E-2"/>
        </top>
        <bottom style="thin">
          <color indexed="64"/>
        </bottom>
      </border>
    </dxf>
    <dxf>
      <font>
        <strike val="0"/>
        <outline val="0"/>
        <shadow val="0"/>
        <u val="none"/>
        <vertAlign val="baseline"/>
        <sz val="14"/>
        <name val="メイリオ"/>
        <family val="3"/>
        <charset val="128"/>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0" tint="-4.9989318521683403E-2"/>
        <name val="メイリオ"/>
        <family val="3"/>
        <charset val="128"/>
        <scheme val="none"/>
      </font>
      <fill>
        <patternFill patternType="solid">
          <fgColor indexed="64"/>
          <bgColor rgb="FFC00000"/>
        </patternFill>
      </fill>
      <alignment horizontal="center" vertical="bottom" textRotation="0" wrapText="0" indent="0" justifyLastLine="0" shrinkToFit="0" readingOrder="0"/>
      <border diagonalUp="0" diagonalDown="0" outline="0">
        <left style="thin">
          <color theme="0" tint="-4.9989318521683403E-2"/>
        </left>
        <right style="thin">
          <color theme="0" tint="-4.9989318521683403E-2"/>
        </right>
        <top/>
        <bottom/>
      </border>
    </dxf>
    <dxf>
      <font>
        <strike val="0"/>
        <outline val="0"/>
        <shadow val="0"/>
        <u val="none"/>
        <vertAlign val="baseline"/>
        <sz val="18"/>
        <name val="メイリオ"/>
        <family val="3"/>
        <charset val="128"/>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8"/>
        <color theme="1"/>
        <name val="メイリオ"/>
        <family val="3"/>
        <charset val="128"/>
        <scheme val="none"/>
      </font>
      <fill>
        <patternFill patternType="none">
          <fgColor theme="4" tint="0.79998168889431442"/>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8"/>
        <name val="メイリオ"/>
        <family val="3"/>
        <charset val="128"/>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8"/>
        <name val="メイリオ"/>
        <family val="3"/>
        <charset val="128"/>
        <scheme val="none"/>
      </font>
      <fill>
        <patternFill patternType="solid">
          <fgColor indexed="64"/>
          <bgColor rgb="FFC00000"/>
        </patternFill>
      </fill>
    </dxf>
    <dxf>
      <font>
        <strike val="0"/>
        <outline val="0"/>
        <shadow val="0"/>
        <u val="none"/>
        <vertAlign val="baseline"/>
        <sz val="18"/>
        <name val="メイリオ"/>
        <family val="3"/>
        <charset val="128"/>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8"/>
        <color theme="1"/>
        <name val="メイリオ"/>
        <family val="3"/>
        <charset val="128"/>
        <scheme val="none"/>
      </font>
      <fill>
        <patternFill patternType="none">
          <fgColor theme="4" tint="0.79998168889431442"/>
          <bgColor auto="1"/>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8"/>
        <name val="メイリオ"/>
        <family val="3"/>
        <charset val="128"/>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8"/>
        <name val="メイリオ"/>
        <family val="3"/>
        <charset val="128"/>
        <scheme val="none"/>
      </font>
      <fill>
        <patternFill patternType="solid">
          <fgColor indexed="64"/>
          <bgColor theme="4" tint="-0.249977111117893"/>
        </patternFill>
      </fill>
    </dxf>
    <dxf>
      <font>
        <strike val="0"/>
        <outline val="0"/>
        <shadow val="0"/>
        <u val="none"/>
        <vertAlign val="baseline"/>
        <sz val="18"/>
        <name val="メイリオ"/>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メイリオ"/>
        <family val="3"/>
        <charset val="128"/>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8"/>
        <name val="メイリオ"/>
        <family val="3"/>
        <charset val="128"/>
        <scheme val="none"/>
      </font>
      <alignment horizontal="center" vertical="center" textRotation="0" wrapText="0" indent="0" justifyLastLine="0" shrinkToFit="0" readingOrder="0"/>
    </dxf>
  </dxfs>
  <tableStyles count="0" defaultTableStyle="TableStyleMedium2" defaultPivotStyle="PivotStyleLight16"/>
  <colors>
    <mruColors>
      <color rgb="FFDDF4FF"/>
      <color rgb="FFFFE7E7"/>
      <color rgb="FFFFD3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EAACD3-D210-4834-95EA-73845B2D4FD4}" name="テーブル1" displayName="テーブル1" ref="C3:H19" totalsRowShown="0" headerRowDxfId="58" dataDxfId="57">
  <tableColumns count="6">
    <tableColumn id="1" xr3:uid="{20900600-040C-49DF-A742-6BD9784647F5}" name="順位" dataDxfId="56"/>
    <tableColumn id="2" xr3:uid="{876338C7-8CCB-44DD-8E94-9F175DB1D192}" name="チーム名" dataDxfId="55">
      <calculatedColumnFormula>INDEX(T:T,MATCH(B4,V:V,0))</calculatedColumnFormula>
    </tableColumn>
    <tableColumn id="3" xr3:uid="{430C7D3A-089E-4B97-951D-783AF1758A3D}" name="総本数" dataDxfId="54">
      <calculatedColumnFormula>IF(D4="","",INDEX(X:X,MATCH(D4,T:T,0)))</calculatedColumnFormula>
    </tableColumn>
    <tableColumn id="4" xr3:uid="{C9E783B9-797F-44B3-90C9-19FB0877BD94}" name="男女" dataDxfId="53">
      <calculatedColumnFormula>IF(D4="","",INDEX(U:U,MATCH(D4,T:T,0)))</calculatedColumnFormula>
    </tableColumn>
    <tableColumn id="5" xr3:uid="{8119CB0E-6781-4F3A-A9E0-3CFA0DD1E392}" name="列2" dataDxfId="52">
      <calculatedColumnFormula>IF($F4="男",ROW(),"")</calculatedColumnFormula>
    </tableColumn>
    <tableColumn id="6" xr3:uid="{C2C0154E-BF75-4255-97FD-934219C45BE3}" name="列3" dataDxfId="51">
      <calculatedColumnFormula>IF($F4="女",ROW(),"")</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6F4E96-4082-42D5-B479-DCDD6279EEDE}" name="テーブル2" displayName="テーブル2" ref="J3:M19" totalsRowShown="0" headerRowDxfId="50" dataDxfId="49" tableBorderDxfId="48">
  <tableColumns count="4">
    <tableColumn id="1" xr3:uid="{F7D94667-6B4A-4BA4-AA09-95D73C6E263A}" name="順位" dataDxfId="47"/>
    <tableColumn id="2" xr3:uid="{0E691B68-B35D-4796-A8CE-88CB0433FC7E}" name="チーム名" dataDxfId="46">
      <calculatedColumnFormula>IF(COUNT(G:G)&lt;ROW(A1),"",INDEX(D:D,SMALL(G:G,ROW(A1))))</calculatedColumnFormula>
    </tableColumn>
    <tableColumn id="3" xr3:uid="{BE4B153E-4E1B-4749-85E1-8553357679DE}" name="総本数" dataDxfId="45">
      <calculatedColumnFormula>IF(K4="","",INDEX(E:E,MATCH(K4,D:D,0)))</calculatedColumnFormula>
    </tableColumn>
    <tableColumn id="4" xr3:uid="{F0C6B59D-0086-444A-A650-4BA1A9336B09}" name="列1" dataDxfId="44">
      <calculatedColumnFormula>IF(K4="","",INDEX(AC:AC,MATCH(K4,T:T,0)))</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A5336E-780E-463B-9193-CE8C917B04FA}" name="テーブル3" displayName="テーブル3" ref="O3:R19" totalsRowShown="0" headerRowDxfId="43" dataDxfId="42" tableBorderDxfId="41">
  <tableColumns count="4">
    <tableColumn id="1" xr3:uid="{597B4493-AA4B-49D0-9F74-551E42D32FCF}" name="順位" dataDxfId="40"/>
    <tableColumn id="2" xr3:uid="{1B8973F3-2E72-4522-807E-931E59A20265}" name="チーム名" dataDxfId="39">
      <calculatedColumnFormula>IF(COUNT(H:H)&lt;ROW(A1),"",INDEX(D:D,SMALL(H:H,ROW(A1))))</calculatedColumnFormula>
    </tableColumn>
    <tableColumn id="3" xr3:uid="{394AD2F9-7531-4C41-8021-AA28F9C63123}" name="総本数" dataDxfId="38">
      <calculatedColumnFormula>IF(P4="","",INDEX(E:E,MATCH(P4,D:D,0)))</calculatedColumnFormula>
    </tableColumn>
    <tableColumn id="4" xr3:uid="{483619F4-75FC-433D-BB0D-21213ABE028F}" name="列1" dataDxfId="37">
      <calculatedColumnFormula>IF(P4="","",INDEX(AC:AC,MATCH(P4,T:T,0)))</calculatedColumnFormula>
    </tableColumn>
  </tableColumns>
  <tableStyleInfo name="TableStyleLight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D0B689-5302-430A-9A25-775533858976}" name="テーブル6" displayName="テーブル6" ref="S2:W66" totalsRowShown="0" headerRowDxfId="36" dataDxfId="34" headerRowBorderDxfId="35" tableBorderDxfId="33" totalsRowBorderDxfId="32">
  <tableColumns count="5">
    <tableColumn id="1" xr3:uid="{99232EBC-5619-4A37-BD9A-C1900A58DE4A}" name="順位" dataDxfId="31">
      <calculatedColumnFormula>IF(V3="","",_xlfn.RANK.EQ(X3,X:X))</calculatedColumnFormula>
    </tableColumn>
    <tableColumn id="2" xr3:uid="{2DEEBFB8-E377-40A3-8756-FD9061FA1DB2}" name="チーム" dataDxfId="30">
      <calculatedColumnFormula>IF(V3="","",INDEX(D:D,MATCH(V3,F:F,0)))</calculatedColumnFormula>
    </tableColumn>
    <tableColumn id="3" xr3:uid="{B2A87F1E-023D-41B3-B7A5-EE352B61B25C}" name="No." dataDxfId="29">
      <calculatedColumnFormula>IF(V3="","",INDEX(E:E,MATCH(V3,F:F,0)))</calculatedColumnFormula>
    </tableColumn>
    <tableColumn id="4" xr3:uid="{5F8BF404-1C12-40AB-811B-76D9F5181BDC}" name="氏名" dataDxfId="28">
      <calculatedColumnFormula>IF(COUNT(J:J)&lt;ROW(B1),"",INDEX(F:F,SMALL(J:J,ROW(B1))))</calculatedColumnFormula>
    </tableColumn>
    <tableColumn id="5" xr3:uid="{FAF49A76-5DB8-4499-8110-35B220C4FF14}" name="総本数" dataDxfId="27">
      <calculatedColumnFormula>IF(V3="","",INDEX(H:H,MATCH(V3,F:F,0)))</calculatedColumnFormula>
    </tableColumn>
  </tableColumns>
  <tableStyleInfo name="TableStyleLight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A8AD49A-DF05-4F44-945E-99CCB8D9602A}" name="テーブル7" displayName="テーブル7" ref="L2:P66" totalsRowShown="0" headerRowDxfId="26" dataDxfId="24" headerRowBorderDxfId="25" tableBorderDxfId="23" totalsRowBorderDxfId="22">
  <tableColumns count="5">
    <tableColumn id="1" xr3:uid="{E67FFFF9-58BC-442C-AD9B-50F728A15444}" name="順位" dataDxfId="21">
      <calculatedColumnFormula>IF(O3="","",_xlfn.RANK.EQ(Q3,Q:Q))</calculatedColumnFormula>
    </tableColumn>
    <tableColumn id="2" xr3:uid="{3A364DDE-548D-4AC4-966D-13ED780E5EA4}" name="チーム" dataDxfId="20">
      <calculatedColumnFormula>IF(O3="","",INDEX(D:D,MATCH(O3,F:F,0)))</calculatedColumnFormula>
    </tableColumn>
    <tableColumn id="3" xr3:uid="{03A78E27-B2BE-4A20-A99F-E4CB5FB0D1A8}" name="No." dataDxfId="19">
      <calculatedColumnFormula>IF(O3="","",INDEX(E:E,MATCH(O3,F:F,0)))</calculatedColumnFormula>
    </tableColumn>
    <tableColumn id="4" xr3:uid="{97857E69-653A-4DD4-B1F3-C12AAD00F345}" name="氏名" dataDxfId="18">
      <calculatedColumnFormula>IF(COUNT(I:I)&lt;ROW(B1),"",INDEX(F:F,SMALL(I:I,ROW(B1))))</calculatedColumnFormula>
    </tableColumn>
    <tableColumn id="5" xr3:uid="{A7FD2462-D34C-471B-BE7F-89EBC89BCEE1}" name="総本数" dataDxfId="17">
      <calculatedColumnFormula>IF(O3="","",INDEX(H:H,MATCH(O3,F:F,0)))</calculatedColumnFormula>
    </tableColumn>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9B4AD4-1BD8-4F11-9ECA-DD00EE002C70}" name="テーブル8" displayName="テーブル8" ref="C2:H66" totalsRowShown="0" headerRowDxfId="16" dataDxfId="14" headerRowBorderDxfId="15" tableBorderDxfId="13" totalsRowBorderDxfId="12">
  <tableColumns count="6">
    <tableColumn id="1" xr3:uid="{46249F50-4E25-476D-B07D-6128EC8EFF08}" name="順位" dataDxfId="11">
      <calculatedColumnFormula>SMALL(AG:AG, B3)</calculatedColumnFormula>
    </tableColumn>
    <tableColumn id="2" xr3:uid="{29518D2F-9900-47AA-98D4-8A847DB9D6A5}" name="チーム" dataDxfId="10">
      <calculatedColumnFormula>INDEX(Z:Z,MATCH(B3,AF:AF,0))</calculatedColumnFormula>
    </tableColumn>
    <tableColumn id="3" xr3:uid="{79924442-E5D2-4C22-AAF2-67B322FB861C}" name="No." dataDxfId="9">
      <calculatedColumnFormula>INDEX(AA:AA,MATCH(B3,AF:AF,0))</calculatedColumnFormula>
    </tableColumn>
    <tableColumn id="4" xr3:uid="{875C3282-E6E9-487A-8926-78726D740A80}" name="氏名" dataDxfId="8">
      <calculatedColumnFormula>INDEX(AB:AB,MATCH(B3,AF:AF,0))</calculatedColumnFormula>
    </tableColumn>
    <tableColumn id="5" xr3:uid="{DBD3DB3E-F9D2-4C28-ABC6-A71078A4AAD1}" name="性別" dataDxfId="7">
      <calculatedColumnFormula>INDEX(AC:AC,MATCH(B3,AF:AF,0))</calculatedColumnFormula>
    </tableColumn>
    <tableColumn id="6" xr3:uid="{C91D5587-4F44-4FB7-B79D-BA2C55AA1461}" name="総本数" dataDxfId="6">
      <calculatedColumnFormula>IF(INDEX(AD:AD,MATCH(F3,AB:AB,0))=8,"皆中",INDEX(AD:AD,MATCH(F3,AB:AB,0)))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65"/>
  <sheetViews>
    <sheetView showGridLines="0" workbookViewId="0">
      <selection activeCell="D21" sqref="D21:E21"/>
    </sheetView>
  </sheetViews>
  <sheetFormatPr defaultRowHeight="13.5" x14ac:dyDescent="0.3"/>
  <cols>
    <col min="1" max="1" width="3.58203125" style="238" customWidth="1"/>
    <col min="2" max="2" width="11.58203125" style="238" customWidth="1"/>
    <col min="3" max="3" width="7" style="238" bestFit="1" customWidth="1"/>
    <col min="4" max="4" width="16.75" style="238" customWidth="1"/>
    <col min="5" max="5" width="7.6640625" style="238" bestFit="1" customWidth="1"/>
    <col min="6" max="6" width="3.58203125" style="238" customWidth="1"/>
    <col min="7" max="16384" width="8.6640625" style="238"/>
  </cols>
  <sheetData>
    <row r="1" spans="2:5" x14ac:dyDescent="0.3">
      <c r="B1" s="258" t="s">
        <v>2</v>
      </c>
      <c r="C1" s="258" t="s">
        <v>18</v>
      </c>
      <c r="D1" s="258" t="s">
        <v>0</v>
      </c>
      <c r="E1" s="258" t="s">
        <v>1</v>
      </c>
    </row>
    <row r="2" spans="2:5" x14ac:dyDescent="0.3">
      <c r="B2" s="259" t="s">
        <v>39</v>
      </c>
      <c r="C2" s="244">
        <v>1</v>
      </c>
      <c r="D2" s="260" t="s">
        <v>60</v>
      </c>
      <c r="E2" s="256" t="s">
        <v>30</v>
      </c>
    </row>
    <row r="3" spans="2:5" x14ac:dyDescent="0.3">
      <c r="B3" s="261" t="s">
        <v>39</v>
      </c>
      <c r="C3" s="244">
        <f>C2+1</f>
        <v>2</v>
      </c>
      <c r="D3" s="241" t="s">
        <v>61</v>
      </c>
      <c r="E3" s="242" t="s">
        <v>30</v>
      </c>
    </row>
    <row r="4" spans="2:5" x14ac:dyDescent="0.3">
      <c r="B4" s="261" t="s">
        <v>39</v>
      </c>
      <c r="C4" s="244">
        <f t="shared" ref="C4:C65" si="0">C3+1</f>
        <v>3</v>
      </c>
      <c r="D4" s="241" t="s">
        <v>62</v>
      </c>
      <c r="E4" s="242" t="s">
        <v>30</v>
      </c>
    </row>
    <row r="5" spans="2:5" ht="14" thickBot="1" x14ac:dyDescent="0.35">
      <c r="B5" s="262" t="s">
        <v>39</v>
      </c>
      <c r="C5" s="263">
        <f t="shared" si="0"/>
        <v>4</v>
      </c>
      <c r="D5" s="265" t="s">
        <v>63</v>
      </c>
      <c r="E5" s="266" t="s">
        <v>30</v>
      </c>
    </row>
    <row r="6" spans="2:5" ht="14" thickTop="1" x14ac:dyDescent="0.3">
      <c r="B6" s="259" t="s">
        <v>46</v>
      </c>
      <c r="C6" s="264">
        <f t="shared" si="0"/>
        <v>5</v>
      </c>
      <c r="D6" s="260" t="s">
        <v>64</v>
      </c>
      <c r="E6" s="256" t="s">
        <v>29</v>
      </c>
    </row>
    <row r="7" spans="2:5" x14ac:dyDescent="0.3">
      <c r="B7" s="261" t="s">
        <v>46</v>
      </c>
      <c r="C7" s="244">
        <f t="shared" si="0"/>
        <v>6</v>
      </c>
      <c r="D7" s="241" t="s">
        <v>65</v>
      </c>
      <c r="E7" s="242" t="s">
        <v>29</v>
      </c>
    </row>
    <row r="8" spans="2:5" x14ac:dyDescent="0.3">
      <c r="B8" s="261" t="s">
        <v>46</v>
      </c>
      <c r="C8" s="244">
        <f t="shared" si="0"/>
        <v>7</v>
      </c>
      <c r="D8" s="241" t="s">
        <v>66</v>
      </c>
      <c r="E8" s="242" t="s">
        <v>29</v>
      </c>
    </row>
    <row r="9" spans="2:5" ht="14" thickBot="1" x14ac:dyDescent="0.35">
      <c r="B9" s="262" t="s">
        <v>46</v>
      </c>
      <c r="C9" s="263">
        <f t="shared" si="0"/>
        <v>8</v>
      </c>
      <c r="D9" s="265" t="s">
        <v>67</v>
      </c>
      <c r="E9" s="266" t="s">
        <v>29</v>
      </c>
    </row>
    <row r="10" spans="2:5" ht="14" thickTop="1" x14ac:dyDescent="0.3">
      <c r="B10" s="259" t="s">
        <v>107</v>
      </c>
      <c r="C10" s="264">
        <f t="shared" si="0"/>
        <v>9</v>
      </c>
      <c r="D10" s="260" t="s">
        <v>92</v>
      </c>
      <c r="E10" s="256" t="s">
        <v>30</v>
      </c>
    </row>
    <row r="11" spans="2:5" x14ac:dyDescent="0.3">
      <c r="B11" s="261" t="s">
        <v>107</v>
      </c>
      <c r="C11" s="244">
        <f t="shared" si="0"/>
        <v>10</v>
      </c>
      <c r="D11" s="241" t="s">
        <v>93</v>
      </c>
      <c r="E11" s="242" t="s">
        <v>30</v>
      </c>
    </row>
    <row r="12" spans="2:5" x14ac:dyDescent="0.3">
      <c r="B12" s="261" t="s">
        <v>107</v>
      </c>
      <c r="C12" s="244">
        <f t="shared" si="0"/>
        <v>11</v>
      </c>
      <c r="D12" s="241" t="s">
        <v>94</v>
      </c>
      <c r="E12" s="242" t="s">
        <v>30</v>
      </c>
    </row>
    <row r="13" spans="2:5" ht="14" thickBot="1" x14ac:dyDescent="0.35">
      <c r="B13" s="262" t="s">
        <v>107</v>
      </c>
      <c r="C13" s="263">
        <f t="shared" si="0"/>
        <v>12</v>
      </c>
      <c r="D13" s="265" t="s">
        <v>95</v>
      </c>
      <c r="E13" s="266" t="s">
        <v>30</v>
      </c>
    </row>
    <row r="14" spans="2:5" ht="14" thickTop="1" x14ac:dyDescent="0.3">
      <c r="B14" s="259" t="s">
        <v>108</v>
      </c>
      <c r="C14" s="264">
        <f t="shared" si="0"/>
        <v>13</v>
      </c>
      <c r="D14" s="260" t="s">
        <v>96</v>
      </c>
      <c r="E14" s="256" t="s">
        <v>29</v>
      </c>
    </row>
    <row r="15" spans="2:5" x14ac:dyDescent="0.3">
      <c r="B15" s="261" t="s">
        <v>108</v>
      </c>
      <c r="C15" s="244">
        <f t="shared" si="0"/>
        <v>14</v>
      </c>
      <c r="D15" s="241" t="s">
        <v>97</v>
      </c>
      <c r="E15" s="242" t="s">
        <v>29</v>
      </c>
    </row>
    <row r="16" spans="2:5" x14ac:dyDescent="0.3">
      <c r="B16" s="261" t="s">
        <v>108</v>
      </c>
      <c r="C16" s="244">
        <f t="shared" si="0"/>
        <v>15</v>
      </c>
      <c r="D16" s="241" t="s">
        <v>98</v>
      </c>
      <c r="E16" s="242" t="s">
        <v>29</v>
      </c>
    </row>
    <row r="17" spans="2:5" ht="14" thickBot="1" x14ac:dyDescent="0.35">
      <c r="B17" s="262" t="s">
        <v>108</v>
      </c>
      <c r="C17" s="263">
        <f t="shared" si="0"/>
        <v>16</v>
      </c>
      <c r="D17" s="265" t="s">
        <v>99</v>
      </c>
      <c r="E17" s="266" t="s">
        <v>29</v>
      </c>
    </row>
    <row r="18" spans="2:5" ht="14" thickTop="1" x14ac:dyDescent="0.3">
      <c r="B18" s="259" t="s">
        <v>43</v>
      </c>
      <c r="C18" s="264">
        <f t="shared" si="0"/>
        <v>17</v>
      </c>
      <c r="D18" s="260" t="s">
        <v>84</v>
      </c>
      <c r="E18" s="256" t="s">
        <v>30</v>
      </c>
    </row>
    <row r="19" spans="2:5" x14ac:dyDescent="0.3">
      <c r="B19" s="261" t="s">
        <v>43</v>
      </c>
      <c r="C19" s="244">
        <f t="shared" si="0"/>
        <v>18</v>
      </c>
      <c r="D19" s="241" t="s">
        <v>85</v>
      </c>
      <c r="E19" s="242" t="s">
        <v>30</v>
      </c>
    </row>
    <row r="20" spans="2:5" x14ac:dyDescent="0.3">
      <c r="B20" s="261" t="s">
        <v>43</v>
      </c>
      <c r="C20" s="244">
        <f t="shared" si="0"/>
        <v>19</v>
      </c>
      <c r="D20" s="241" t="s">
        <v>86</v>
      </c>
      <c r="E20" s="242" t="s">
        <v>30</v>
      </c>
    </row>
    <row r="21" spans="2:5" ht="14" thickBot="1" x14ac:dyDescent="0.35">
      <c r="B21" s="262" t="s">
        <v>43</v>
      </c>
      <c r="C21" s="263">
        <f t="shared" si="0"/>
        <v>20</v>
      </c>
      <c r="D21" s="265" t="s">
        <v>87</v>
      </c>
      <c r="E21" s="266" t="s">
        <v>30</v>
      </c>
    </row>
    <row r="22" spans="2:5" ht="14" thickTop="1" x14ac:dyDescent="0.3">
      <c r="B22" s="259" t="s">
        <v>45</v>
      </c>
      <c r="C22" s="264">
        <f t="shared" si="0"/>
        <v>21</v>
      </c>
      <c r="D22" s="260" t="s">
        <v>88</v>
      </c>
      <c r="E22" s="256" t="s">
        <v>29</v>
      </c>
    </row>
    <row r="23" spans="2:5" x14ac:dyDescent="0.3">
      <c r="B23" s="261" t="s">
        <v>45</v>
      </c>
      <c r="C23" s="244">
        <f t="shared" si="0"/>
        <v>22</v>
      </c>
      <c r="D23" s="241" t="s">
        <v>89</v>
      </c>
      <c r="E23" s="242" t="s">
        <v>29</v>
      </c>
    </row>
    <row r="24" spans="2:5" x14ac:dyDescent="0.3">
      <c r="B24" s="261" t="s">
        <v>45</v>
      </c>
      <c r="C24" s="244">
        <f t="shared" si="0"/>
        <v>23</v>
      </c>
      <c r="D24" s="241" t="s">
        <v>90</v>
      </c>
      <c r="E24" s="242" t="s">
        <v>29</v>
      </c>
    </row>
    <row r="25" spans="2:5" ht="14" thickBot="1" x14ac:dyDescent="0.35">
      <c r="B25" s="262" t="s">
        <v>45</v>
      </c>
      <c r="C25" s="263">
        <f t="shared" si="0"/>
        <v>24</v>
      </c>
      <c r="D25" s="265" t="s">
        <v>91</v>
      </c>
      <c r="E25" s="266" t="s">
        <v>29</v>
      </c>
    </row>
    <row r="26" spans="2:5" ht="14" thickTop="1" x14ac:dyDescent="0.3">
      <c r="B26" s="259" t="s">
        <v>47</v>
      </c>
      <c r="C26" s="264">
        <f t="shared" si="0"/>
        <v>25</v>
      </c>
      <c r="D26" s="260" t="s">
        <v>76</v>
      </c>
      <c r="E26" s="256" t="s">
        <v>30</v>
      </c>
    </row>
    <row r="27" spans="2:5" x14ac:dyDescent="0.3">
      <c r="B27" s="261" t="s">
        <v>47</v>
      </c>
      <c r="C27" s="244">
        <f t="shared" si="0"/>
        <v>26</v>
      </c>
      <c r="D27" s="241" t="s">
        <v>77</v>
      </c>
      <c r="E27" s="242" t="s">
        <v>30</v>
      </c>
    </row>
    <row r="28" spans="2:5" x14ac:dyDescent="0.3">
      <c r="B28" s="261" t="s">
        <v>47</v>
      </c>
      <c r="C28" s="244">
        <f t="shared" si="0"/>
        <v>27</v>
      </c>
      <c r="D28" s="241" t="s">
        <v>78</v>
      </c>
      <c r="E28" s="242" t="s">
        <v>30</v>
      </c>
    </row>
    <row r="29" spans="2:5" ht="14" thickBot="1" x14ac:dyDescent="0.35">
      <c r="B29" s="262" t="s">
        <v>47</v>
      </c>
      <c r="C29" s="263">
        <f t="shared" si="0"/>
        <v>28</v>
      </c>
      <c r="D29" s="265" t="s">
        <v>79</v>
      </c>
      <c r="E29" s="266" t="s">
        <v>30</v>
      </c>
    </row>
    <row r="30" spans="2:5" ht="14" thickTop="1" x14ac:dyDescent="0.3">
      <c r="B30" s="259" t="s">
        <v>48</v>
      </c>
      <c r="C30" s="264">
        <f t="shared" si="0"/>
        <v>29</v>
      </c>
      <c r="D30" s="260" t="s">
        <v>80</v>
      </c>
      <c r="E30" s="256" t="s">
        <v>29</v>
      </c>
    </row>
    <row r="31" spans="2:5" x14ac:dyDescent="0.3">
      <c r="B31" s="261" t="s">
        <v>48</v>
      </c>
      <c r="C31" s="244">
        <f t="shared" si="0"/>
        <v>30</v>
      </c>
      <c r="D31" s="241" t="s">
        <v>81</v>
      </c>
      <c r="E31" s="242" t="s">
        <v>29</v>
      </c>
    </row>
    <row r="32" spans="2:5" x14ac:dyDescent="0.3">
      <c r="B32" s="261" t="s">
        <v>48</v>
      </c>
      <c r="C32" s="244">
        <f t="shared" si="0"/>
        <v>31</v>
      </c>
      <c r="D32" s="241" t="s">
        <v>82</v>
      </c>
      <c r="E32" s="242" t="s">
        <v>29</v>
      </c>
    </row>
    <row r="33" spans="2:5" ht="14" thickBot="1" x14ac:dyDescent="0.35">
      <c r="B33" s="262" t="s">
        <v>48</v>
      </c>
      <c r="C33" s="263">
        <f t="shared" si="0"/>
        <v>32</v>
      </c>
      <c r="D33" s="265" t="s">
        <v>83</v>
      </c>
      <c r="E33" s="266" t="s">
        <v>29</v>
      </c>
    </row>
    <row r="34" spans="2:5" ht="14" thickTop="1" x14ac:dyDescent="0.3">
      <c r="B34" s="259" t="s">
        <v>40</v>
      </c>
      <c r="C34" s="264">
        <f t="shared" si="0"/>
        <v>33</v>
      </c>
      <c r="D34" s="260" t="s">
        <v>68</v>
      </c>
      <c r="E34" s="256" t="s">
        <v>30</v>
      </c>
    </row>
    <row r="35" spans="2:5" x14ac:dyDescent="0.3">
      <c r="B35" s="261" t="s">
        <v>40</v>
      </c>
      <c r="C35" s="244">
        <f t="shared" si="0"/>
        <v>34</v>
      </c>
      <c r="D35" s="241" t="s">
        <v>69</v>
      </c>
      <c r="E35" s="242" t="s">
        <v>30</v>
      </c>
    </row>
    <row r="36" spans="2:5" x14ac:dyDescent="0.3">
      <c r="B36" s="261" t="s">
        <v>40</v>
      </c>
      <c r="C36" s="244">
        <f t="shared" si="0"/>
        <v>35</v>
      </c>
      <c r="D36" s="241" t="s">
        <v>70</v>
      </c>
      <c r="E36" s="242" t="s">
        <v>30</v>
      </c>
    </row>
    <row r="37" spans="2:5" ht="14" thickBot="1" x14ac:dyDescent="0.35">
      <c r="B37" s="262" t="s">
        <v>40</v>
      </c>
      <c r="C37" s="263">
        <f t="shared" si="0"/>
        <v>36</v>
      </c>
      <c r="D37" s="265" t="s">
        <v>71</v>
      </c>
      <c r="E37" s="266" t="s">
        <v>30</v>
      </c>
    </row>
    <row r="38" spans="2:5" ht="14" thickTop="1" x14ac:dyDescent="0.3">
      <c r="B38" s="259" t="s">
        <v>41</v>
      </c>
      <c r="C38" s="264">
        <f t="shared" si="0"/>
        <v>37</v>
      </c>
      <c r="D38" s="260" t="s">
        <v>72</v>
      </c>
      <c r="E38" s="256" t="s">
        <v>29</v>
      </c>
    </row>
    <row r="39" spans="2:5" x14ac:dyDescent="0.3">
      <c r="B39" s="261" t="s">
        <v>41</v>
      </c>
      <c r="C39" s="244">
        <f t="shared" si="0"/>
        <v>38</v>
      </c>
      <c r="D39" s="241" t="s">
        <v>73</v>
      </c>
      <c r="E39" s="242" t="s">
        <v>29</v>
      </c>
    </row>
    <row r="40" spans="2:5" x14ac:dyDescent="0.3">
      <c r="B40" s="261" t="s">
        <v>41</v>
      </c>
      <c r="C40" s="244">
        <f t="shared" si="0"/>
        <v>39</v>
      </c>
      <c r="D40" s="241" t="s">
        <v>74</v>
      </c>
      <c r="E40" s="242" t="s">
        <v>29</v>
      </c>
    </row>
    <row r="41" spans="2:5" ht="14" thickBot="1" x14ac:dyDescent="0.35">
      <c r="B41" s="262" t="s">
        <v>41</v>
      </c>
      <c r="C41" s="263">
        <f t="shared" si="0"/>
        <v>40</v>
      </c>
      <c r="D41" s="265" t="s">
        <v>75</v>
      </c>
      <c r="E41" s="266" t="s">
        <v>29</v>
      </c>
    </row>
    <row r="42" spans="2:5" ht="14" thickTop="1" x14ac:dyDescent="0.3">
      <c r="B42" s="259" t="s">
        <v>37</v>
      </c>
      <c r="C42" s="264">
        <f t="shared" si="0"/>
        <v>41</v>
      </c>
      <c r="D42" s="241" t="s">
        <v>109</v>
      </c>
      <c r="E42" s="242" t="s">
        <v>30</v>
      </c>
    </row>
    <row r="43" spans="2:5" x14ac:dyDescent="0.3">
      <c r="B43" s="261" t="s">
        <v>37</v>
      </c>
      <c r="C43" s="244">
        <f t="shared" si="0"/>
        <v>42</v>
      </c>
      <c r="D43" s="241" t="s">
        <v>110</v>
      </c>
      <c r="E43" s="242" t="s">
        <v>30</v>
      </c>
    </row>
    <row r="44" spans="2:5" x14ac:dyDescent="0.3">
      <c r="B44" s="261" t="s">
        <v>37</v>
      </c>
      <c r="C44" s="244">
        <f t="shared" si="0"/>
        <v>43</v>
      </c>
      <c r="D44" s="241" t="s">
        <v>111</v>
      </c>
      <c r="E44" s="242" t="s">
        <v>30</v>
      </c>
    </row>
    <row r="45" spans="2:5" ht="14" thickBot="1" x14ac:dyDescent="0.35">
      <c r="B45" s="262" t="s">
        <v>37</v>
      </c>
      <c r="C45" s="263">
        <f t="shared" si="0"/>
        <v>44</v>
      </c>
      <c r="D45" s="265" t="s">
        <v>112</v>
      </c>
      <c r="E45" s="266" t="s">
        <v>30</v>
      </c>
    </row>
    <row r="46" spans="2:5" ht="14" thickTop="1" x14ac:dyDescent="0.3">
      <c r="B46" s="259" t="s">
        <v>38</v>
      </c>
      <c r="C46" s="264">
        <f t="shared" si="0"/>
        <v>45</v>
      </c>
      <c r="D46" s="260" t="s">
        <v>113</v>
      </c>
      <c r="E46" s="256" t="s">
        <v>29</v>
      </c>
    </row>
    <row r="47" spans="2:5" x14ac:dyDescent="0.3">
      <c r="B47" s="261" t="s">
        <v>38</v>
      </c>
      <c r="C47" s="244">
        <f t="shared" si="0"/>
        <v>46</v>
      </c>
      <c r="D47" s="241" t="s">
        <v>114</v>
      </c>
      <c r="E47" s="242" t="s">
        <v>29</v>
      </c>
    </row>
    <row r="48" spans="2:5" x14ac:dyDescent="0.3">
      <c r="B48" s="261" t="s">
        <v>38</v>
      </c>
      <c r="C48" s="244">
        <f t="shared" si="0"/>
        <v>47</v>
      </c>
      <c r="D48" s="241" t="s">
        <v>115</v>
      </c>
      <c r="E48" s="242" t="s">
        <v>29</v>
      </c>
    </row>
    <row r="49" spans="2:5" ht="14" thickBot="1" x14ac:dyDescent="0.35">
      <c r="B49" s="262" t="s">
        <v>38</v>
      </c>
      <c r="C49" s="263">
        <f t="shared" si="0"/>
        <v>48</v>
      </c>
      <c r="D49" s="265" t="s">
        <v>116</v>
      </c>
      <c r="E49" s="266" t="s">
        <v>29</v>
      </c>
    </row>
    <row r="50" spans="2:5" ht="14" thickTop="1" x14ac:dyDescent="0.3">
      <c r="B50" s="259" t="s">
        <v>100</v>
      </c>
      <c r="C50" s="264">
        <f t="shared" si="0"/>
        <v>49</v>
      </c>
      <c r="D50" s="260" t="s">
        <v>101</v>
      </c>
      <c r="E50" s="242" t="s">
        <v>30</v>
      </c>
    </row>
    <row r="51" spans="2:5" x14ac:dyDescent="0.3">
      <c r="B51" s="261" t="s">
        <v>100</v>
      </c>
      <c r="C51" s="244">
        <f t="shared" si="0"/>
        <v>50</v>
      </c>
      <c r="D51" s="241" t="s">
        <v>102</v>
      </c>
      <c r="E51" s="242" t="s">
        <v>30</v>
      </c>
    </row>
    <row r="52" spans="2:5" x14ac:dyDescent="0.3">
      <c r="B52" s="261" t="s">
        <v>100</v>
      </c>
      <c r="C52" s="244">
        <f t="shared" si="0"/>
        <v>51</v>
      </c>
      <c r="D52" s="241" t="s">
        <v>103</v>
      </c>
      <c r="E52" s="242" t="s">
        <v>30</v>
      </c>
    </row>
    <row r="53" spans="2:5" ht="14" thickBot="1" x14ac:dyDescent="0.35">
      <c r="B53" s="262" t="s">
        <v>100</v>
      </c>
      <c r="C53" s="263">
        <f t="shared" si="0"/>
        <v>52</v>
      </c>
      <c r="D53" s="265" t="s">
        <v>104</v>
      </c>
      <c r="E53" s="266" t="s">
        <v>30</v>
      </c>
    </row>
    <row r="54" spans="2:5" ht="14" thickTop="1" x14ac:dyDescent="0.3">
      <c r="B54" s="259" t="s">
        <v>105</v>
      </c>
      <c r="C54" s="264">
        <f t="shared" si="0"/>
        <v>53</v>
      </c>
      <c r="D54" s="260" t="s">
        <v>119</v>
      </c>
      <c r="E54" s="242" t="s">
        <v>30</v>
      </c>
    </row>
    <row r="55" spans="2:5" x14ac:dyDescent="0.3">
      <c r="B55" s="261" t="s">
        <v>105</v>
      </c>
      <c r="C55" s="244">
        <f t="shared" si="0"/>
        <v>54</v>
      </c>
      <c r="D55" s="241" t="s">
        <v>120</v>
      </c>
      <c r="E55" s="242" t="s">
        <v>30</v>
      </c>
    </row>
    <row r="56" spans="2:5" x14ac:dyDescent="0.3">
      <c r="B56" s="261" t="s">
        <v>105</v>
      </c>
      <c r="C56" s="244">
        <f t="shared" si="0"/>
        <v>55</v>
      </c>
      <c r="D56" s="241" t="s">
        <v>121</v>
      </c>
      <c r="E56" s="242" t="s">
        <v>30</v>
      </c>
    </row>
    <row r="57" spans="2:5" ht="14" thickBot="1" x14ac:dyDescent="0.35">
      <c r="B57" s="262" t="s">
        <v>105</v>
      </c>
      <c r="C57" s="263">
        <f t="shared" si="0"/>
        <v>56</v>
      </c>
      <c r="D57" s="265" t="s">
        <v>122</v>
      </c>
      <c r="E57" s="266" t="s">
        <v>30</v>
      </c>
    </row>
    <row r="58" spans="2:5" ht="14" thickTop="1" x14ac:dyDescent="0.3">
      <c r="B58" s="259" t="s">
        <v>106</v>
      </c>
      <c r="C58" s="264">
        <f t="shared" si="0"/>
        <v>57</v>
      </c>
      <c r="D58" s="260" t="s">
        <v>123</v>
      </c>
      <c r="E58" s="256" t="s">
        <v>29</v>
      </c>
    </row>
    <row r="59" spans="2:5" x14ac:dyDescent="0.3">
      <c r="B59" s="261" t="s">
        <v>106</v>
      </c>
      <c r="C59" s="244">
        <f t="shared" si="0"/>
        <v>58</v>
      </c>
      <c r="D59" s="241" t="s">
        <v>124</v>
      </c>
      <c r="E59" s="242" t="s">
        <v>29</v>
      </c>
    </row>
    <row r="60" spans="2:5" x14ac:dyDescent="0.3">
      <c r="B60" s="261" t="s">
        <v>106</v>
      </c>
      <c r="C60" s="244">
        <f t="shared" si="0"/>
        <v>59</v>
      </c>
      <c r="D60" s="241" t="s">
        <v>125</v>
      </c>
      <c r="E60" s="242" t="s">
        <v>29</v>
      </c>
    </row>
    <row r="61" spans="2:5" ht="14" thickBot="1" x14ac:dyDescent="0.35">
      <c r="B61" s="262" t="s">
        <v>106</v>
      </c>
      <c r="C61" s="263">
        <f t="shared" si="0"/>
        <v>60</v>
      </c>
      <c r="D61" s="265" t="s">
        <v>126</v>
      </c>
      <c r="E61" s="266" t="s">
        <v>29</v>
      </c>
    </row>
    <row r="62" spans="2:5" ht="14" thickTop="1" x14ac:dyDescent="0.3">
      <c r="B62" s="259" t="s">
        <v>117</v>
      </c>
      <c r="C62" s="264">
        <f t="shared" si="0"/>
        <v>61</v>
      </c>
      <c r="D62" s="241"/>
      <c r="E62" s="242"/>
    </row>
    <row r="63" spans="2:5" x14ac:dyDescent="0.3">
      <c r="B63" s="261"/>
      <c r="C63" s="244">
        <f t="shared" si="0"/>
        <v>62</v>
      </c>
      <c r="D63" s="241"/>
      <c r="E63" s="242"/>
    </row>
    <row r="64" spans="2:5" x14ac:dyDescent="0.3">
      <c r="B64" s="261"/>
      <c r="C64" s="244">
        <f t="shared" si="0"/>
        <v>63</v>
      </c>
      <c r="D64" s="241"/>
      <c r="E64" s="242"/>
    </row>
    <row r="65" spans="2:5" x14ac:dyDescent="0.3">
      <c r="B65" s="267"/>
      <c r="C65" s="244">
        <f t="shared" si="0"/>
        <v>64</v>
      </c>
      <c r="D65" s="241"/>
      <c r="E65" s="242"/>
    </row>
  </sheetData>
  <phoneticPr fontId="1"/>
  <dataValidations count="1">
    <dataValidation type="list" allowBlank="1" showInputMessage="1" showErrorMessage="1" sqref="E2:E65" xr:uid="{CDD8DF2A-0250-4A32-96FC-DB67B3A5867E}">
      <formula1>"男,女"</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078BE-F5B8-4B66-88E2-E3A3D97919FC}">
  <sheetPr>
    <pageSetUpPr fitToPage="1"/>
  </sheetPr>
  <dimension ref="B2:AH72"/>
  <sheetViews>
    <sheetView view="pageBreakPreview" zoomScale="70" zoomScaleNormal="38" zoomScaleSheetLayoutView="70" workbookViewId="0">
      <selection activeCell="G51" activeCellId="47" sqref="N43 N44 N46 O45 P44 O43 Q45 Q46 P46 P49 O50 O49 O48 N49 N50 N51 Q48 Q50 P51 F43 G44 H44 I43 H45 F46 G45 I46 J45 K44 L45 L44 M43 J43 L46 J49 K50 K48 L49 L50 L51 M51 I51 G50 H50 G48 F49 H49 G51"/>
    </sheetView>
  </sheetViews>
  <sheetFormatPr defaultColWidth="3.58203125" defaultRowHeight="32.5" x14ac:dyDescent="0.55000000000000004"/>
  <cols>
    <col min="1" max="1" width="3.58203125" style="79"/>
    <col min="2" max="25" width="9.6640625" style="79" customWidth="1"/>
    <col min="26" max="26" width="19.5" style="234" bestFit="1" customWidth="1"/>
    <col min="27" max="30" width="8.08203125" style="79" customWidth="1"/>
    <col min="31" max="34" width="5.1640625" style="79" customWidth="1"/>
    <col min="35" max="16384" width="3.58203125" style="79"/>
  </cols>
  <sheetData>
    <row r="2" spans="2:26" x14ac:dyDescent="0.55000000000000004">
      <c r="B2" s="181" t="str">
        <f>選手!B22</f>
        <v>日進B</v>
      </c>
      <c r="C2" s="179"/>
      <c r="D2" s="179"/>
      <c r="E2" s="180"/>
      <c r="F2" s="179" t="str">
        <f>選手!B18</f>
        <v>日進A</v>
      </c>
      <c r="G2" s="179"/>
      <c r="H2" s="179"/>
      <c r="I2" s="179"/>
      <c r="J2" s="182" t="str">
        <f>選手!B14</f>
        <v>豊明B</v>
      </c>
      <c r="K2" s="179"/>
      <c r="L2" s="179"/>
      <c r="M2" s="183"/>
      <c r="N2" s="179" t="str">
        <f>選手!B10</f>
        <v>豊明A</v>
      </c>
      <c r="O2" s="179"/>
      <c r="P2" s="179"/>
      <c r="Q2" s="179"/>
      <c r="R2" s="182" t="str">
        <f>選手!B6</f>
        <v>春日井B</v>
      </c>
      <c r="S2" s="179"/>
      <c r="T2" s="179"/>
      <c r="U2" s="183"/>
      <c r="V2" s="179" t="str">
        <f>選手!B2</f>
        <v>春日井A</v>
      </c>
      <c r="W2" s="179"/>
      <c r="X2" s="179"/>
      <c r="Y2" s="180"/>
      <c r="Z2" s="231" t="s">
        <v>2</v>
      </c>
    </row>
    <row r="3" spans="2:26" x14ac:dyDescent="0.55000000000000004">
      <c r="B3" s="175">
        <f t="shared" ref="B3" si="0">SUM(B5:E5)</f>
        <v>17</v>
      </c>
      <c r="C3" s="175"/>
      <c r="D3" s="175"/>
      <c r="E3" s="175"/>
      <c r="F3" s="174">
        <f t="shared" ref="F3" si="1">SUM(F5:I5)</f>
        <v>15</v>
      </c>
      <c r="G3" s="175"/>
      <c r="H3" s="175"/>
      <c r="I3" s="178"/>
      <c r="J3" s="176">
        <f t="shared" ref="J3" si="2">SUM(J5:M5)</f>
        <v>14</v>
      </c>
      <c r="K3" s="175"/>
      <c r="L3" s="175"/>
      <c r="M3" s="177"/>
      <c r="N3" s="174">
        <f t="shared" ref="N3" si="3">SUM(N5:Q5)</f>
        <v>12</v>
      </c>
      <c r="O3" s="175"/>
      <c r="P3" s="175"/>
      <c r="Q3" s="178"/>
      <c r="R3" s="176">
        <f t="shared" ref="R3" si="4">SUM(R5:U5)</f>
        <v>15</v>
      </c>
      <c r="S3" s="175"/>
      <c r="T3" s="175"/>
      <c r="U3" s="177"/>
      <c r="V3" s="174">
        <f t="shared" ref="V3" si="5">SUM(V5:Y5)</f>
        <v>21</v>
      </c>
      <c r="W3" s="175"/>
      <c r="X3" s="175"/>
      <c r="Y3" s="175"/>
      <c r="Z3" s="231" t="s">
        <v>3</v>
      </c>
    </row>
    <row r="4" spans="2:26" hidden="1" x14ac:dyDescent="0.55000000000000004">
      <c r="B4" s="80">
        <f>B5+0.1+(IF(B15="〇",1,0)*0.01)+(IF(B14="〇",1,0)*0.001)+(IF(B13="〇",1,0)*0.0001)+(IF(B12="〇",1,0)*0.00001)+(IF(B10="〇",1,0)*0.000001)+(IF(B9="〇",1,0)*0.0000001)+(IF(B8="〇",1,0)*0.00000001)+(IF(B7="〇",1,0)*0.000000001)</f>
        <v>6.1011110109999995</v>
      </c>
      <c r="C4" s="80">
        <f>C5+0.1+(IF(C15="〇",1,0)*0.01)+(IF(C14="〇",1,0)*0.001)+(IF(C13="〇",1,0)*0.0001)+(IF(C12="〇",1,0)*0.00001)+(IF(C10="〇",1,0)*0.000001)+(IF(C9="〇",1,0)*0.0000001)+(IF(C8="〇",1,0)*0.00000001)+(IF(C7="〇",1,0)*0.000000001)</f>
        <v>3.101000011</v>
      </c>
      <c r="D4" s="80">
        <f>D5+0.1+(IF(D15="〇",1,0)*0.01)+(IF(D14="〇",1,0)*0.001)+(IF(D13="〇",1,0)*0.0001)+(IF(D12="〇",1,0)*0.00001)+(IF(D10="〇",1,0)*0.000001)+(IF(D9="〇",1,0)*0.0000001)+(IF(D8="〇",1,0)*0.00000001)+(IF(D7="〇",1,0)*0.000000001)</f>
        <v>4.1101010999999996</v>
      </c>
      <c r="E4" s="80">
        <f>E5+0.1+(IF(E15="〇",1,0)*0.01)+(IF(E14="〇",1,0)*0.001)+(IF(E13="〇",1,0)*0.0001)+(IF(E12="〇",1,0)*0.00001)+(IF(E10="〇",1,0)*0.000001)+(IF(E9="〇",1,0)*0.0000001)+(IF(E8="〇",1,0)*0.00000001)+(IF(E7="〇",1,0)*0.000000001)</f>
        <v>4.1100101099999993</v>
      </c>
      <c r="F4" s="84">
        <f t="shared" ref="F4:Y4" si="6">F5+0.1+(IF(F15="〇",1,0)*0.01)+(IF(F14="〇",1,0)*0.001)+(IF(F13="〇",1,0)*0.0001)+(IF(F12="〇",1,0)*0.00001)+(IF(F10="〇",1,0)*0.000001)+(IF(F9="〇",1,0)*0.0000001)+(IF(F8="〇",1,0)*0.00000001)+(IF(F7="〇",1,0)*0.000000001)</f>
        <v>5.1101011099999996</v>
      </c>
      <c r="G4" s="80">
        <f t="shared" si="6"/>
        <v>3.110010001</v>
      </c>
      <c r="H4" s="80">
        <f t="shared" si="6"/>
        <v>3.1001010100000004</v>
      </c>
      <c r="I4" s="81">
        <f t="shared" si="6"/>
        <v>4.1001011009999999</v>
      </c>
      <c r="J4" s="82">
        <f t="shared" si="6"/>
        <v>2.1001000100000002</v>
      </c>
      <c r="K4" s="80">
        <f t="shared" si="6"/>
        <v>5.1011011010000002</v>
      </c>
      <c r="L4" s="80">
        <f t="shared" si="6"/>
        <v>3.10101001</v>
      </c>
      <c r="M4" s="83">
        <f t="shared" si="6"/>
        <v>4.1100101009999994</v>
      </c>
      <c r="N4" s="84">
        <f t="shared" si="6"/>
        <v>3.1001010010000005</v>
      </c>
      <c r="O4" s="80">
        <f t="shared" si="6"/>
        <v>3.1100010010000001</v>
      </c>
      <c r="P4" s="80">
        <f t="shared" si="6"/>
        <v>3.1010100999999999</v>
      </c>
      <c r="Q4" s="81">
        <f t="shared" si="6"/>
        <v>3.1110000009999998</v>
      </c>
      <c r="R4" s="82">
        <f t="shared" si="6"/>
        <v>4.1101000109999992</v>
      </c>
      <c r="S4" s="80">
        <f t="shared" si="6"/>
        <v>5.1100101109999994</v>
      </c>
      <c r="T4" s="80">
        <f t="shared" si="6"/>
        <v>2.1001001000000001</v>
      </c>
      <c r="U4" s="83">
        <f t="shared" si="6"/>
        <v>4.1010101099999998</v>
      </c>
      <c r="V4" s="84">
        <f t="shared" si="6"/>
        <v>7.111101111</v>
      </c>
      <c r="W4" s="80">
        <f t="shared" si="6"/>
        <v>3.10101001</v>
      </c>
      <c r="X4" s="80">
        <f t="shared" si="6"/>
        <v>6.1011101109999997</v>
      </c>
      <c r="Y4" s="80">
        <f t="shared" si="6"/>
        <v>5.1011010109999999</v>
      </c>
      <c r="Z4" s="231" t="s">
        <v>32</v>
      </c>
    </row>
    <row r="5" spans="2:26" x14ac:dyDescent="0.55000000000000004">
      <c r="B5" s="85">
        <f>B6+B11</f>
        <v>6</v>
      </c>
      <c r="C5" s="85">
        <f>C6+C11</f>
        <v>3</v>
      </c>
      <c r="D5" s="85">
        <f>D6+D11</f>
        <v>4</v>
      </c>
      <c r="E5" s="85">
        <f>E6+E11</f>
        <v>4</v>
      </c>
      <c r="F5" s="89">
        <f t="shared" ref="F5:Y5" si="7">F6+F11</f>
        <v>5</v>
      </c>
      <c r="G5" s="85">
        <f t="shared" si="7"/>
        <v>3</v>
      </c>
      <c r="H5" s="85">
        <f t="shared" si="7"/>
        <v>3</v>
      </c>
      <c r="I5" s="86">
        <f t="shared" si="7"/>
        <v>4</v>
      </c>
      <c r="J5" s="87">
        <f t="shared" si="7"/>
        <v>2</v>
      </c>
      <c r="K5" s="85">
        <f t="shared" si="7"/>
        <v>5</v>
      </c>
      <c r="L5" s="85">
        <f t="shared" si="7"/>
        <v>3</v>
      </c>
      <c r="M5" s="88">
        <f t="shared" si="7"/>
        <v>4</v>
      </c>
      <c r="N5" s="89">
        <f t="shared" si="7"/>
        <v>3</v>
      </c>
      <c r="O5" s="85">
        <f t="shared" si="7"/>
        <v>3</v>
      </c>
      <c r="P5" s="85">
        <f t="shared" si="7"/>
        <v>3</v>
      </c>
      <c r="Q5" s="86">
        <f t="shared" si="7"/>
        <v>3</v>
      </c>
      <c r="R5" s="87">
        <f t="shared" si="7"/>
        <v>4</v>
      </c>
      <c r="S5" s="85">
        <f t="shared" si="7"/>
        <v>5</v>
      </c>
      <c r="T5" s="85">
        <f t="shared" si="7"/>
        <v>2</v>
      </c>
      <c r="U5" s="88">
        <f t="shared" si="7"/>
        <v>4</v>
      </c>
      <c r="V5" s="89">
        <f t="shared" si="7"/>
        <v>7</v>
      </c>
      <c r="W5" s="85">
        <f t="shared" si="7"/>
        <v>3</v>
      </c>
      <c r="X5" s="85">
        <f t="shared" si="7"/>
        <v>6</v>
      </c>
      <c r="Y5" s="85">
        <f t="shared" si="7"/>
        <v>5</v>
      </c>
      <c r="Z5" s="231" t="s">
        <v>4</v>
      </c>
    </row>
    <row r="6" spans="2:26" x14ac:dyDescent="0.55000000000000004">
      <c r="B6" s="90">
        <f t="shared" ref="B6" si="8">COUNTIF(B7:B10,"〇")</f>
        <v>3</v>
      </c>
      <c r="C6" s="90">
        <f t="shared" ref="C6" si="9">COUNTIF(C7:C10,"〇")</f>
        <v>2</v>
      </c>
      <c r="D6" s="90">
        <f t="shared" ref="D6" si="10">COUNTIF(D7:D10,"〇")</f>
        <v>2</v>
      </c>
      <c r="E6" s="90">
        <f t="shared" ref="E6" si="11">COUNTIF(E7:E10,"〇")</f>
        <v>2</v>
      </c>
      <c r="F6" s="94">
        <f t="shared" ref="F6" si="12">COUNTIF(F7:F10,"〇")</f>
        <v>3</v>
      </c>
      <c r="G6" s="90">
        <f t="shared" ref="G6" si="13">COUNTIF(G7:G10,"〇")</f>
        <v>1</v>
      </c>
      <c r="H6" s="90">
        <f t="shared" ref="H6" si="14">COUNTIF(H7:H10,"〇")</f>
        <v>2</v>
      </c>
      <c r="I6" s="91">
        <f t="shared" ref="I6" si="15">COUNTIF(I7:I10,"〇")</f>
        <v>3</v>
      </c>
      <c r="J6" s="92">
        <f t="shared" ref="J6" si="16">COUNTIF(J7:J10,"〇")</f>
        <v>1</v>
      </c>
      <c r="K6" s="90">
        <f t="shared" ref="K6" si="17">COUNTIF(K7:K10,"〇")</f>
        <v>3</v>
      </c>
      <c r="L6" s="90">
        <f t="shared" ref="L6" si="18">COUNTIF(L7:L10,"〇")</f>
        <v>1</v>
      </c>
      <c r="M6" s="93">
        <f t="shared" ref="M6" si="19">COUNTIF(M7:M10,"〇")</f>
        <v>2</v>
      </c>
      <c r="N6" s="94">
        <f t="shared" ref="N6" si="20">COUNTIF(N7:N10,"〇")</f>
        <v>2</v>
      </c>
      <c r="O6" s="90">
        <f t="shared" ref="O6" si="21">COUNTIF(O7:O10,"〇")</f>
        <v>2</v>
      </c>
      <c r="P6" s="90">
        <f t="shared" ref="P6" si="22">COUNTIF(P7:P10,"〇")</f>
        <v>1</v>
      </c>
      <c r="Q6" s="91">
        <f t="shared" ref="Q6" si="23">COUNTIF(Q7:Q10,"〇")</f>
        <v>1</v>
      </c>
      <c r="R6" s="92">
        <f t="shared" ref="R6" si="24">COUNTIF(R7:R10,"〇")</f>
        <v>2</v>
      </c>
      <c r="S6" s="90">
        <f t="shared" ref="S6" si="25">COUNTIF(S7:S10,"〇")</f>
        <v>3</v>
      </c>
      <c r="T6" s="90">
        <f t="shared" ref="T6" si="26">COUNTIF(T7:T10,"〇")</f>
        <v>1</v>
      </c>
      <c r="U6" s="93">
        <f t="shared" ref="U6" si="27">COUNTIF(U7:U10,"〇")</f>
        <v>2</v>
      </c>
      <c r="V6" s="94">
        <f t="shared" ref="V6" si="28">COUNTIF(V7:V10,"〇")</f>
        <v>4</v>
      </c>
      <c r="W6" s="90">
        <f t="shared" ref="W6" si="29">COUNTIF(W7:W10,"〇")</f>
        <v>1</v>
      </c>
      <c r="X6" s="90">
        <f t="shared" ref="X6" si="30">COUNTIF(X7:X10,"〇")</f>
        <v>3</v>
      </c>
      <c r="Y6" s="90">
        <f>COUNTIF(Y7:Y10,"〇")</f>
        <v>3</v>
      </c>
      <c r="Z6" s="231" t="s">
        <v>21</v>
      </c>
    </row>
    <row r="7" spans="2:26" x14ac:dyDescent="0.55000000000000004">
      <c r="B7" s="95" t="s">
        <v>118</v>
      </c>
      <c r="C7" s="95" t="s">
        <v>118</v>
      </c>
      <c r="D7" s="95"/>
      <c r="E7" s="95"/>
      <c r="F7" s="99"/>
      <c r="G7" s="95" t="s">
        <v>118</v>
      </c>
      <c r="H7" s="95"/>
      <c r="I7" s="95" t="s">
        <v>118</v>
      </c>
      <c r="J7" s="97"/>
      <c r="K7" s="95" t="s">
        <v>118</v>
      </c>
      <c r="L7" s="95"/>
      <c r="M7" s="95" t="s">
        <v>118</v>
      </c>
      <c r="N7" s="95" t="s">
        <v>118</v>
      </c>
      <c r="O7" s="95" t="s">
        <v>118</v>
      </c>
      <c r="P7" s="95"/>
      <c r="Q7" s="95" t="s">
        <v>118</v>
      </c>
      <c r="R7" s="95" t="s">
        <v>118</v>
      </c>
      <c r="S7" s="95" t="s">
        <v>118</v>
      </c>
      <c r="T7" s="95"/>
      <c r="U7" s="98"/>
      <c r="V7" s="95" t="s">
        <v>118</v>
      </c>
      <c r="W7" s="95"/>
      <c r="X7" s="95" t="s">
        <v>118</v>
      </c>
      <c r="Y7" s="95" t="s">
        <v>118</v>
      </c>
      <c r="Z7" s="231" t="s">
        <v>22</v>
      </c>
    </row>
    <row r="8" spans="2:26" x14ac:dyDescent="0.55000000000000004">
      <c r="B8" s="95" t="s">
        <v>118</v>
      </c>
      <c r="C8" s="95" t="s">
        <v>118</v>
      </c>
      <c r="D8" s="95"/>
      <c r="E8" s="95" t="s">
        <v>118</v>
      </c>
      <c r="F8" s="95" t="s">
        <v>118</v>
      </c>
      <c r="G8" s="95"/>
      <c r="H8" s="95" t="s">
        <v>118</v>
      </c>
      <c r="I8" s="96"/>
      <c r="J8" s="95" t="s">
        <v>118</v>
      </c>
      <c r="K8" s="95"/>
      <c r="L8" s="95" t="s">
        <v>118</v>
      </c>
      <c r="M8" s="98"/>
      <c r="N8" s="99"/>
      <c r="O8" s="95"/>
      <c r="P8" s="95"/>
      <c r="Q8" s="96"/>
      <c r="R8" s="95" t="s">
        <v>118</v>
      </c>
      <c r="S8" s="95" t="s">
        <v>118</v>
      </c>
      <c r="T8" s="95"/>
      <c r="U8" s="95" t="s">
        <v>118</v>
      </c>
      <c r="V8" s="95" t="s">
        <v>118</v>
      </c>
      <c r="W8" s="95" t="s">
        <v>118</v>
      </c>
      <c r="X8" s="95" t="s">
        <v>118</v>
      </c>
      <c r="Y8" s="95" t="s">
        <v>118</v>
      </c>
      <c r="Z8" s="231" t="s">
        <v>24</v>
      </c>
    </row>
    <row r="9" spans="2:26" x14ac:dyDescent="0.55000000000000004">
      <c r="B9" s="95"/>
      <c r="C9" s="95"/>
      <c r="D9" s="95" t="s">
        <v>118</v>
      </c>
      <c r="E9" s="95" t="s">
        <v>118</v>
      </c>
      <c r="F9" s="95" t="s">
        <v>118</v>
      </c>
      <c r="G9" s="95"/>
      <c r="H9" s="95"/>
      <c r="I9" s="95" t="s">
        <v>118</v>
      </c>
      <c r="J9" s="97"/>
      <c r="K9" s="95" t="s">
        <v>118</v>
      </c>
      <c r="L9" s="95"/>
      <c r="M9" s="95" t="s">
        <v>118</v>
      </c>
      <c r="N9" s="99"/>
      <c r="O9" s="95"/>
      <c r="P9" s="95" t="s">
        <v>118</v>
      </c>
      <c r="Q9" s="96"/>
      <c r="R9" s="97"/>
      <c r="S9" s="95" t="s">
        <v>118</v>
      </c>
      <c r="T9" s="95" t="s">
        <v>118</v>
      </c>
      <c r="U9" s="95" t="s">
        <v>118</v>
      </c>
      <c r="V9" s="95" t="s">
        <v>118</v>
      </c>
      <c r="W9" s="95"/>
      <c r="X9" s="95" t="s">
        <v>118</v>
      </c>
      <c r="Y9" s="95" t="s">
        <v>150</v>
      </c>
      <c r="Z9" s="231" t="s">
        <v>26</v>
      </c>
    </row>
    <row r="10" spans="2:26" x14ac:dyDescent="0.55000000000000004">
      <c r="B10" s="95" t="s">
        <v>118</v>
      </c>
      <c r="C10" s="95"/>
      <c r="D10" s="95" t="s">
        <v>118</v>
      </c>
      <c r="E10" s="95"/>
      <c r="F10" s="95" t="s">
        <v>118</v>
      </c>
      <c r="G10" s="95"/>
      <c r="H10" s="95" t="s">
        <v>118</v>
      </c>
      <c r="I10" s="95" t="s">
        <v>118</v>
      </c>
      <c r="J10" s="97"/>
      <c r="K10" s="95" t="s">
        <v>118</v>
      </c>
      <c r="L10" s="95"/>
      <c r="M10" s="98"/>
      <c r="N10" s="95" t="s">
        <v>118</v>
      </c>
      <c r="O10" s="95" t="s">
        <v>118</v>
      </c>
      <c r="P10" s="95"/>
      <c r="Q10" s="96"/>
      <c r="R10" s="97"/>
      <c r="S10" s="95"/>
      <c r="T10" s="95"/>
      <c r="U10" s="98"/>
      <c r="V10" s="95" t="s">
        <v>118</v>
      </c>
      <c r="W10" s="95"/>
      <c r="X10" s="95"/>
      <c r="Y10" s="95" t="s">
        <v>118</v>
      </c>
      <c r="Z10" s="231" t="s">
        <v>28</v>
      </c>
    </row>
    <row r="11" spans="2:26" x14ac:dyDescent="0.55000000000000004">
      <c r="B11" s="90">
        <f>COUNTIF(B12:B15,"〇")</f>
        <v>3</v>
      </c>
      <c r="C11" s="90">
        <f>COUNTIF(C12:C15,"〇")</f>
        <v>1</v>
      </c>
      <c r="D11" s="90">
        <f>COUNTIF(D12:D15,"〇")</f>
        <v>2</v>
      </c>
      <c r="E11" s="90">
        <f>COUNTIF(E12:E15,"〇")</f>
        <v>2</v>
      </c>
      <c r="F11" s="94">
        <f t="shared" ref="F11:Y11" si="31">COUNTIF(F12:F15,"〇")</f>
        <v>2</v>
      </c>
      <c r="G11" s="90">
        <f t="shared" si="31"/>
        <v>2</v>
      </c>
      <c r="H11" s="90">
        <f t="shared" si="31"/>
        <v>1</v>
      </c>
      <c r="I11" s="91">
        <f t="shared" si="31"/>
        <v>1</v>
      </c>
      <c r="J11" s="92">
        <f t="shared" si="31"/>
        <v>1</v>
      </c>
      <c r="K11" s="90">
        <f t="shared" si="31"/>
        <v>2</v>
      </c>
      <c r="L11" s="90">
        <f t="shared" si="31"/>
        <v>2</v>
      </c>
      <c r="M11" s="93">
        <f t="shared" si="31"/>
        <v>2</v>
      </c>
      <c r="N11" s="94">
        <f t="shared" si="31"/>
        <v>1</v>
      </c>
      <c r="O11" s="90">
        <f t="shared" si="31"/>
        <v>1</v>
      </c>
      <c r="P11" s="90">
        <f t="shared" si="31"/>
        <v>2</v>
      </c>
      <c r="Q11" s="91">
        <f t="shared" si="31"/>
        <v>2</v>
      </c>
      <c r="R11" s="92">
        <f t="shared" si="31"/>
        <v>2</v>
      </c>
      <c r="S11" s="90">
        <f t="shared" si="31"/>
        <v>2</v>
      </c>
      <c r="T11" s="90">
        <f t="shared" si="31"/>
        <v>1</v>
      </c>
      <c r="U11" s="93">
        <f t="shared" si="31"/>
        <v>2</v>
      </c>
      <c r="V11" s="94">
        <f t="shared" si="31"/>
        <v>3</v>
      </c>
      <c r="W11" s="90">
        <f t="shared" si="31"/>
        <v>2</v>
      </c>
      <c r="X11" s="90">
        <f t="shared" si="31"/>
        <v>3</v>
      </c>
      <c r="Y11" s="90">
        <f t="shared" si="31"/>
        <v>2</v>
      </c>
      <c r="Z11" s="231" t="s">
        <v>20</v>
      </c>
    </row>
    <row r="12" spans="2:26" x14ac:dyDescent="0.55000000000000004">
      <c r="B12" s="95" t="s">
        <v>118</v>
      </c>
      <c r="C12" s="95"/>
      <c r="D12" s="95"/>
      <c r="E12" s="95" t="s">
        <v>118</v>
      </c>
      <c r="F12" s="99"/>
      <c r="G12" s="95" t="s">
        <v>118</v>
      </c>
      <c r="H12" s="95"/>
      <c r="I12" s="96"/>
      <c r="J12" s="97"/>
      <c r="K12" s="95"/>
      <c r="L12" s="95" t="s">
        <v>118</v>
      </c>
      <c r="M12" s="95" t="s">
        <v>118</v>
      </c>
      <c r="N12" s="99"/>
      <c r="O12" s="95"/>
      <c r="P12" s="95" t="s">
        <v>118</v>
      </c>
      <c r="Q12" s="96"/>
      <c r="R12" s="97"/>
      <c r="S12" s="95" t="s">
        <v>118</v>
      </c>
      <c r="T12" s="95"/>
      <c r="U12" s="95" t="s">
        <v>118</v>
      </c>
      <c r="V12" s="95"/>
      <c r="W12" s="95" t="s">
        <v>118</v>
      </c>
      <c r="X12" s="95" t="s">
        <v>118</v>
      </c>
      <c r="Y12" s="95"/>
      <c r="Z12" s="231" t="s">
        <v>22</v>
      </c>
    </row>
    <row r="13" spans="2:26" x14ac:dyDescent="0.55000000000000004">
      <c r="B13" s="95" t="s">
        <v>118</v>
      </c>
      <c r="C13" s="95"/>
      <c r="D13" s="95" t="s">
        <v>118</v>
      </c>
      <c r="E13" s="95"/>
      <c r="F13" s="95" t="s">
        <v>118</v>
      </c>
      <c r="G13" s="95"/>
      <c r="H13" s="95" t="s">
        <v>118</v>
      </c>
      <c r="I13" s="95" t="s">
        <v>118</v>
      </c>
      <c r="J13" s="95" t="s">
        <v>118</v>
      </c>
      <c r="K13" s="95" t="s">
        <v>118</v>
      </c>
      <c r="L13" s="95"/>
      <c r="M13" s="98"/>
      <c r="N13" s="95" t="s">
        <v>118</v>
      </c>
      <c r="O13" s="95"/>
      <c r="P13" s="95"/>
      <c r="Q13" s="96"/>
      <c r="R13" s="95" t="s">
        <v>118</v>
      </c>
      <c r="S13" s="95"/>
      <c r="T13" s="95" t="s">
        <v>118</v>
      </c>
      <c r="U13" s="98"/>
      <c r="V13" s="95" t="s">
        <v>118</v>
      </c>
      <c r="W13" s="95"/>
      <c r="X13" s="95" t="s">
        <v>118</v>
      </c>
      <c r="Y13" s="95" t="s">
        <v>118</v>
      </c>
      <c r="Z13" s="231" t="s">
        <v>24</v>
      </c>
    </row>
    <row r="14" spans="2:26" x14ac:dyDescent="0.55000000000000004">
      <c r="B14" s="95" t="s">
        <v>118</v>
      </c>
      <c r="C14" s="95" t="s">
        <v>118</v>
      </c>
      <c r="D14" s="95"/>
      <c r="E14" s="95"/>
      <c r="F14" s="99"/>
      <c r="G14" s="95"/>
      <c r="H14" s="95"/>
      <c r="I14" s="96"/>
      <c r="J14" s="97"/>
      <c r="K14" s="95" t="s">
        <v>118</v>
      </c>
      <c r="L14" s="95" t="s">
        <v>118</v>
      </c>
      <c r="M14" s="98"/>
      <c r="N14" s="99"/>
      <c r="O14" s="95"/>
      <c r="P14" s="95" t="s">
        <v>118</v>
      </c>
      <c r="Q14" s="95" t="s">
        <v>118</v>
      </c>
      <c r="R14" s="97"/>
      <c r="S14" s="95"/>
      <c r="T14" s="95"/>
      <c r="U14" s="95" t="s">
        <v>118</v>
      </c>
      <c r="V14" s="95" t="s">
        <v>118</v>
      </c>
      <c r="W14" s="95" t="s">
        <v>118</v>
      </c>
      <c r="X14" s="95" t="s">
        <v>118</v>
      </c>
      <c r="Y14" s="95" t="s">
        <v>118</v>
      </c>
      <c r="Z14" s="231" t="s">
        <v>26</v>
      </c>
    </row>
    <row r="15" spans="2:26" ht="33" thickBot="1" x14ac:dyDescent="0.6">
      <c r="B15" s="95"/>
      <c r="C15" s="95"/>
      <c r="D15" s="95" t="s">
        <v>118</v>
      </c>
      <c r="E15" s="95" t="s">
        <v>118</v>
      </c>
      <c r="F15" s="95" t="s">
        <v>118</v>
      </c>
      <c r="G15" s="95" t="s">
        <v>118</v>
      </c>
      <c r="H15" s="95"/>
      <c r="I15" s="96"/>
      <c r="J15" s="97"/>
      <c r="K15" s="95"/>
      <c r="L15" s="95"/>
      <c r="M15" s="95" t="s">
        <v>118</v>
      </c>
      <c r="N15" s="99"/>
      <c r="O15" s="95" t="s">
        <v>118</v>
      </c>
      <c r="P15" s="95"/>
      <c r="Q15" s="95" t="s">
        <v>118</v>
      </c>
      <c r="R15" s="95" t="s">
        <v>118</v>
      </c>
      <c r="S15" s="95" t="s">
        <v>118</v>
      </c>
      <c r="T15" s="95"/>
      <c r="U15" s="98"/>
      <c r="V15" s="95" t="s">
        <v>118</v>
      </c>
      <c r="W15" s="95"/>
      <c r="X15" s="95"/>
      <c r="Y15" s="95"/>
      <c r="Z15" s="232" t="s">
        <v>28</v>
      </c>
    </row>
    <row r="16" spans="2:26" x14ac:dyDescent="0.55000000000000004">
      <c r="B16" s="105">
        <f>IF(選手!C25&lt;&gt;"",選手!C25,"")</f>
        <v>24</v>
      </c>
      <c r="C16" s="105">
        <f>IF(選手!C24&lt;&gt;"",選手!C24,"")</f>
        <v>23</v>
      </c>
      <c r="D16" s="105">
        <f>IF(選手!C23&lt;&gt;"",選手!C23,"")</f>
        <v>22</v>
      </c>
      <c r="E16" s="105">
        <f>IF(選手!C22&lt;&gt;"",選手!C22,"")</f>
        <v>21</v>
      </c>
      <c r="F16" s="109">
        <f>IF(選手!C21&lt;&gt;"",選手!C21,"")</f>
        <v>20</v>
      </c>
      <c r="G16" s="105">
        <f>IF(選手!C20&lt;&gt;"",選手!C20,"")</f>
        <v>19</v>
      </c>
      <c r="H16" s="105">
        <f>IF(選手!C19&lt;&gt;"",選手!C19,"")</f>
        <v>18</v>
      </c>
      <c r="I16" s="106">
        <f>IF(選手!C18&lt;&gt;"",選手!C18,"")</f>
        <v>17</v>
      </c>
      <c r="J16" s="107">
        <f>IF(選手!C17&lt;&gt;"",選手!C17,"")</f>
        <v>16</v>
      </c>
      <c r="K16" s="105">
        <f>IF(選手!C16&lt;&gt;"",選手!C16,"")</f>
        <v>15</v>
      </c>
      <c r="L16" s="105">
        <f>IF(選手!C15&lt;&gt;"",選手!C15,"")</f>
        <v>14</v>
      </c>
      <c r="M16" s="108">
        <f>IF(選手!C14&lt;&gt;"",選手!C14,"")</f>
        <v>13</v>
      </c>
      <c r="N16" s="109">
        <f>IF(選手!C13&lt;&gt;"",選手!C13,"")</f>
        <v>12</v>
      </c>
      <c r="O16" s="105">
        <f>IF(選手!C12&lt;&gt;"",選手!C12,"")</f>
        <v>11</v>
      </c>
      <c r="P16" s="105">
        <f>IF(選手!C11&lt;&gt;"",選手!C11,"")</f>
        <v>10</v>
      </c>
      <c r="Q16" s="106">
        <f>IF(選手!C10&lt;&gt;"",選手!C10,"")</f>
        <v>9</v>
      </c>
      <c r="R16" s="107">
        <f>IF(選手!C9&lt;&gt;"",選手!C9,"")</f>
        <v>8</v>
      </c>
      <c r="S16" s="105">
        <f>IF(選手!C8&lt;&gt;"",選手!C8,"")</f>
        <v>7</v>
      </c>
      <c r="T16" s="105">
        <f>IF(選手!C7&lt;&gt;"",選手!C7,"")</f>
        <v>6</v>
      </c>
      <c r="U16" s="108">
        <f>IF(選手!C6&lt;&gt;"",選手!C6,"")</f>
        <v>5</v>
      </c>
      <c r="V16" s="109">
        <f>IF(選手!C5&lt;&gt;"",選手!C5,"")</f>
        <v>4</v>
      </c>
      <c r="W16" s="105">
        <f>IF(選手!C4&lt;&gt;"",選手!C4,"")</f>
        <v>3</v>
      </c>
      <c r="X16" s="105">
        <f>IF(選手!C3&lt;&gt;"",選手!C3,"")</f>
        <v>2</v>
      </c>
      <c r="Y16" s="105">
        <f>IF(選手!C2&lt;&gt;"",選手!C2,"")</f>
        <v>1</v>
      </c>
      <c r="Z16" s="233" t="s">
        <v>18</v>
      </c>
    </row>
    <row r="17" spans="2:34" x14ac:dyDescent="0.55000000000000004">
      <c r="B17" s="110" t="str">
        <f>IF(選手!E25&lt;&gt;"",選手!E25,"")</f>
        <v>女</v>
      </c>
      <c r="C17" s="110" t="str">
        <f>IF(選手!E24&lt;&gt;"",選手!E24,"")</f>
        <v>女</v>
      </c>
      <c r="D17" s="110" t="str">
        <f>IF(選手!E23&lt;&gt;"",選手!E23,"")</f>
        <v>女</v>
      </c>
      <c r="E17" s="110" t="str">
        <f>IF(選手!E22&lt;&gt;"",選手!E22,"")</f>
        <v>女</v>
      </c>
      <c r="F17" s="114" t="str">
        <f>IF(選手!E21&lt;&gt;"",選手!E21,"")</f>
        <v>男</v>
      </c>
      <c r="G17" s="110" t="str">
        <f>IF(選手!E20&lt;&gt;"",選手!E20,"")</f>
        <v>男</v>
      </c>
      <c r="H17" s="110" t="str">
        <f>IF(選手!E19&lt;&gt;"",選手!E19,"")</f>
        <v>男</v>
      </c>
      <c r="I17" s="111" t="str">
        <f>IF(選手!E18&lt;&gt;"",選手!E18,"")</f>
        <v>男</v>
      </c>
      <c r="J17" s="112" t="str">
        <f>IF(選手!E17&lt;&gt;"",選手!E17,"")</f>
        <v>女</v>
      </c>
      <c r="K17" s="110" t="str">
        <f>IF(選手!E16&lt;&gt;"",選手!E16,"")</f>
        <v>女</v>
      </c>
      <c r="L17" s="110" t="str">
        <f>IF(選手!E15&lt;&gt;"",選手!E15,"")</f>
        <v>女</v>
      </c>
      <c r="M17" s="113" t="str">
        <f>IF(選手!E14&lt;&gt;"",選手!E14,"")</f>
        <v>女</v>
      </c>
      <c r="N17" s="114" t="str">
        <f>IF(選手!E13&lt;&gt;"",選手!E13,"")</f>
        <v>男</v>
      </c>
      <c r="O17" s="110" t="str">
        <f>IF(選手!E12&lt;&gt;"",選手!E12,"")</f>
        <v>男</v>
      </c>
      <c r="P17" s="110" t="str">
        <f>IF(選手!E11&lt;&gt;"",選手!E11,"")</f>
        <v>男</v>
      </c>
      <c r="Q17" s="111" t="str">
        <f>IF(選手!E10&lt;&gt;"",選手!E10,"")</f>
        <v>男</v>
      </c>
      <c r="R17" s="112" t="str">
        <f>IF(選手!E9&lt;&gt;"",選手!E9,"")</f>
        <v>女</v>
      </c>
      <c r="S17" s="110" t="str">
        <f>IF(選手!E8&lt;&gt;"",選手!E8,"")</f>
        <v>女</v>
      </c>
      <c r="T17" s="110" t="str">
        <f>IF(選手!E7&lt;&gt;"",選手!E7,"")</f>
        <v>女</v>
      </c>
      <c r="U17" s="113" t="str">
        <f>IF(選手!E6&lt;&gt;"",選手!E6,"")</f>
        <v>女</v>
      </c>
      <c r="V17" s="114" t="str">
        <f>IF(選手!E5&lt;&gt;"",選手!E5,"")</f>
        <v>男</v>
      </c>
      <c r="W17" s="110" t="str">
        <f>IF(選手!E4&lt;&gt;"",選手!E4,"")</f>
        <v>男</v>
      </c>
      <c r="X17" s="110" t="str">
        <f>IF(選手!E3&lt;&gt;"",選手!E3,"")</f>
        <v>男</v>
      </c>
      <c r="Y17" s="110" t="str">
        <f>IF(選手!E2&lt;&gt;"",選手!E2,"")</f>
        <v>男</v>
      </c>
      <c r="Z17" s="231" t="s">
        <v>35</v>
      </c>
    </row>
    <row r="18" spans="2:34" ht="155.5" customHeight="1" x14ac:dyDescent="0.55000000000000004">
      <c r="B18" s="116" t="str">
        <f>IF(選手!D25&lt;&gt;"",選手!D25,"")</f>
        <v>谷口 洋子</v>
      </c>
      <c r="C18" s="116" t="str">
        <f>IF(選手!D24&lt;&gt;"",選手!D24,"")</f>
        <v>入江 美讃</v>
      </c>
      <c r="D18" s="116" t="str">
        <f>IF(選手!D23&lt;&gt;"",選手!D23,"")</f>
        <v>越後 奈緒美</v>
      </c>
      <c r="E18" s="116" t="str">
        <f>IF(選手!D22&lt;&gt;"",選手!D22,"")</f>
        <v>後藤 徳子</v>
      </c>
      <c r="F18" s="120" t="str">
        <f>IF(選手!D21&lt;&gt;"",選手!D21,"")</f>
        <v>志手 俊二</v>
      </c>
      <c r="G18" s="116" t="str">
        <f>IF(選手!D20&lt;&gt;"",選手!D20,"")</f>
        <v>谷田 直樹</v>
      </c>
      <c r="H18" s="116" t="str">
        <f>IF(選手!D19&lt;&gt;"",選手!D19,"")</f>
        <v>笠井 大督</v>
      </c>
      <c r="I18" s="117" t="str">
        <f>IF(選手!D18&lt;&gt;"",選手!D18,"")</f>
        <v>新美 友治</v>
      </c>
      <c r="J18" s="118" t="str">
        <f>IF(選手!D17&lt;&gt;"",選手!D17,"")</f>
        <v>谷口 祥子</v>
      </c>
      <c r="K18" s="116" t="str">
        <f>IF(選手!D16&lt;&gt;"",選手!D16,"")</f>
        <v>樋田 良子</v>
      </c>
      <c r="L18" s="116" t="str">
        <f>IF(選手!D15&lt;&gt;"",選手!D15,"")</f>
        <v>深見 裕子</v>
      </c>
      <c r="M18" s="119" t="str">
        <f>IF(選手!D14&lt;&gt;"",選手!D14,"")</f>
        <v>堀井 恵美子</v>
      </c>
      <c r="N18" s="120" t="str">
        <f>IF(選手!D13&lt;&gt;"",選手!D13,"")</f>
        <v>榊原 隆一</v>
      </c>
      <c r="O18" s="116" t="str">
        <f>IF(選手!D12&lt;&gt;"",選手!D12,"")</f>
        <v>外山 康彦</v>
      </c>
      <c r="P18" s="116" t="str">
        <f>IF(選手!D11&lt;&gt;"",選手!D11,"")</f>
        <v>近藤 治</v>
      </c>
      <c r="Q18" s="117" t="str">
        <f>IF(選手!D10&lt;&gt;"",選手!D10,"")</f>
        <v>近藤 雄介</v>
      </c>
      <c r="R18" s="118" t="str">
        <f>IF(選手!D9&lt;&gt;"",選手!D9,"")</f>
        <v>伊藤 洋子</v>
      </c>
      <c r="S18" s="116" t="str">
        <f>IF(選手!D8&lt;&gt;"",選手!D8,"")</f>
        <v>片桐 志保</v>
      </c>
      <c r="T18" s="116" t="str">
        <f>IF(選手!D7&lt;&gt;"",選手!D7,"")</f>
        <v>渡會 あすか</v>
      </c>
      <c r="U18" s="119" t="str">
        <f>IF(選手!D6&lt;&gt;"",選手!D6,"")</f>
        <v>佃 弘美</v>
      </c>
      <c r="V18" s="120" t="str">
        <f>IF(選手!D5&lt;&gt;"",選手!D5,"")</f>
        <v>田井 泰</v>
      </c>
      <c r="W18" s="116" t="str">
        <f>IF(選手!D4&lt;&gt;"",選手!D4,"")</f>
        <v>大嶋 啓嗣</v>
      </c>
      <c r="X18" s="116" t="str">
        <f>IF(選手!D3&lt;&gt;"",選手!D3,"")</f>
        <v>伊藤 恭浩</v>
      </c>
      <c r="Y18" s="116" t="str">
        <f>IF(選手!D2&lt;&gt;"",選手!D2,"")</f>
        <v>峯 徹</v>
      </c>
      <c r="Z18" s="115" t="s">
        <v>58</v>
      </c>
    </row>
    <row r="19" spans="2:34" x14ac:dyDescent="0.55000000000000004">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AA19" s="121"/>
      <c r="AB19" s="121"/>
      <c r="AC19" s="121"/>
      <c r="AD19" s="121"/>
      <c r="AE19" s="121"/>
      <c r="AF19" s="121"/>
      <c r="AG19" s="121"/>
      <c r="AH19" s="121"/>
    </row>
    <row r="20" spans="2:34" x14ac:dyDescent="0.55000000000000004">
      <c r="J20" s="181" t="str">
        <f>選手!B38</f>
        <v>尾張旭B</v>
      </c>
      <c r="K20" s="179"/>
      <c r="L20" s="179"/>
      <c r="M20" s="180"/>
      <c r="N20" s="179" t="str">
        <f>選手!B34</f>
        <v>尾張旭A</v>
      </c>
      <c r="O20" s="179"/>
      <c r="P20" s="179"/>
      <c r="Q20" s="183"/>
      <c r="R20" s="179" t="str">
        <f>選手!B30</f>
        <v>長久手B</v>
      </c>
      <c r="S20" s="179"/>
      <c r="T20" s="179"/>
      <c r="U20" s="179"/>
      <c r="V20" s="182" t="str">
        <f>選手!B26</f>
        <v>長久手A</v>
      </c>
      <c r="W20" s="179"/>
      <c r="X20" s="179"/>
      <c r="Y20" s="180"/>
      <c r="Z20" s="231" t="s">
        <v>2</v>
      </c>
      <c r="AA20" s="121"/>
      <c r="AB20" s="121"/>
      <c r="AC20" s="121"/>
      <c r="AD20" s="121"/>
      <c r="AE20" s="121"/>
      <c r="AF20" s="121"/>
      <c r="AG20" s="121"/>
      <c r="AH20" s="121"/>
    </row>
    <row r="21" spans="2:34" x14ac:dyDescent="0.55000000000000004">
      <c r="J21" s="175">
        <f t="shared" ref="J21" si="32">SUM(J23:M23)</f>
        <v>10</v>
      </c>
      <c r="K21" s="175"/>
      <c r="L21" s="175"/>
      <c r="M21" s="175"/>
      <c r="N21" s="174">
        <f t="shared" ref="N21" si="33">SUM(N23:Q23)</f>
        <v>17</v>
      </c>
      <c r="O21" s="175"/>
      <c r="P21" s="175"/>
      <c r="Q21" s="177"/>
      <c r="R21" s="174">
        <f>SUM(R23:U23)</f>
        <v>16</v>
      </c>
      <c r="S21" s="175"/>
      <c r="T21" s="175"/>
      <c r="U21" s="178"/>
      <c r="V21" s="176">
        <f>SUM(V23:Y23)</f>
        <v>20</v>
      </c>
      <c r="W21" s="175"/>
      <c r="X21" s="175"/>
      <c r="Y21" s="175"/>
      <c r="Z21" s="231" t="s">
        <v>3</v>
      </c>
      <c r="AA21" s="121"/>
      <c r="AB21" s="121"/>
      <c r="AC21" s="121"/>
      <c r="AD21" s="121"/>
      <c r="AE21" s="121"/>
      <c r="AF21" s="121"/>
      <c r="AG21" s="121"/>
      <c r="AH21" s="121"/>
    </row>
    <row r="22" spans="2:34" hidden="1" x14ac:dyDescent="0.55000000000000004">
      <c r="J22" s="80">
        <f t="shared" ref="J22:Q22" si="34">J23+0.1+(IF(J33="〇",1,0)*0.01)+(IF(J32="〇",1,0)*0.001)+(IF(J31="〇",1,0)*0.0001)+(IF(J30="〇",1,0)*0.00001)+(IF(J28="〇",1,0)*0.000001)+(IF(J27="〇",1,0)*0.0000001)+(IF(J26="〇",1,0)*0.00000001)+(IF(J25="〇",1,0)*0.000000001)</f>
        <v>2.1100100099999999</v>
      </c>
      <c r="K22" s="80">
        <f t="shared" si="34"/>
        <v>3.1010100999999999</v>
      </c>
      <c r="L22" s="80">
        <f t="shared" si="34"/>
        <v>3.11010001</v>
      </c>
      <c r="M22" s="80">
        <f t="shared" si="34"/>
        <v>2.1011000000000002</v>
      </c>
      <c r="N22" s="84">
        <f t="shared" si="34"/>
        <v>4.1011001010000001</v>
      </c>
      <c r="O22" s="80">
        <f t="shared" si="34"/>
        <v>4.1100101099999993</v>
      </c>
      <c r="P22" s="80">
        <f t="shared" si="34"/>
        <v>4.1011010099999998</v>
      </c>
      <c r="Q22" s="83">
        <f t="shared" si="34"/>
        <v>5.1011110009999996</v>
      </c>
      <c r="R22" s="84">
        <f t="shared" ref="R22:Y22" si="35">R23+0.1+(IF(R33="〇",1,0)*0.01)+(IF(R32="〇",1,0)*0.001)+(IF(R31="〇",1,0)*0.0001)+(IF(R30="〇",1,0)*0.00001)+(IF(R28="〇",1,0)*0.000001)+(IF(R27="〇",1,0)*0.0000001)+(IF(R26="〇",1,0)*0.00000001)+(IF(R25="〇",1,0)*0.000000001)</f>
        <v>7.1011111109999998</v>
      </c>
      <c r="S22" s="80">
        <f t="shared" si="35"/>
        <v>2.1001010000000004</v>
      </c>
      <c r="T22" s="80">
        <f t="shared" si="35"/>
        <v>4.1100101009999994</v>
      </c>
      <c r="U22" s="81">
        <f t="shared" si="35"/>
        <v>3.10101001</v>
      </c>
      <c r="V22" s="82">
        <f t="shared" si="35"/>
        <v>4.10110011</v>
      </c>
      <c r="W22" s="80">
        <f t="shared" si="35"/>
        <v>7.1101111109999993</v>
      </c>
      <c r="X22" s="80">
        <f t="shared" si="35"/>
        <v>4.1010110099999997</v>
      </c>
      <c r="Y22" s="80">
        <f t="shared" si="35"/>
        <v>5.1101100109999988</v>
      </c>
      <c r="Z22" s="231" t="s">
        <v>32</v>
      </c>
      <c r="AA22" s="121"/>
      <c r="AB22" s="121"/>
      <c r="AC22" s="121"/>
      <c r="AD22" s="121"/>
      <c r="AE22" s="121"/>
      <c r="AF22" s="121"/>
      <c r="AG22" s="121"/>
      <c r="AH22" s="121"/>
    </row>
    <row r="23" spans="2:34" x14ac:dyDescent="0.55000000000000004">
      <c r="J23" s="85">
        <f t="shared" ref="J23" si="36">J24+J29</f>
        <v>2</v>
      </c>
      <c r="K23" s="85">
        <f t="shared" ref="K23" si="37">K24+K29</f>
        <v>3</v>
      </c>
      <c r="L23" s="85">
        <f t="shared" ref="L23" si="38">L24+L29</f>
        <v>3</v>
      </c>
      <c r="M23" s="85">
        <f t="shared" ref="M23" si="39">M24+M29</f>
        <v>2</v>
      </c>
      <c r="N23" s="89">
        <f t="shared" ref="N23" si="40">N24+N29</f>
        <v>4</v>
      </c>
      <c r="O23" s="85">
        <f t="shared" ref="O23" si="41">O24+O29</f>
        <v>4</v>
      </c>
      <c r="P23" s="85">
        <f t="shared" ref="P23" si="42">P24+P29</f>
        <v>4</v>
      </c>
      <c r="Q23" s="88">
        <f t="shared" ref="Q23" si="43">Q24+Q29</f>
        <v>5</v>
      </c>
      <c r="R23" s="89">
        <f>R24+R29</f>
        <v>7</v>
      </c>
      <c r="S23" s="85">
        <f>S24+S29</f>
        <v>2</v>
      </c>
      <c r="T23" s="85">
        <f>T24+T29</f>
        <v>4</v>
      </c>
      <c r="U23" s="86">
        <f>U24+U29</f>
        <v>3</v>
      </c>
      <c r="V23" s="87">
        <f>V24+V29</f>
        <v>4</v>
      </c>
      <c r="W23" s="85">
        <f>W24+W29</f>
        <v>7</v>
      </c>
      <c r="X23" s="85">
        <f>X24+X29</f>
        <v>4</v>
      </c>
      <c r="Y23" s="85">
        <f>Y24+Y29</f>
        <v>5</v>
      </c>
      <c r="Z23" s="231" t="s">
        <v>4</v>
      </c>
      <c r="AA23" s="121"/>
      <c r="AB23" s="121"/>
      <c r="AC23" s="121"/>
      <c r="AD23" s="121"/>
      <c r="AE23" s="121"/>
      <c r="AF23" s="121"/>
      <c r="AG23" s="121"/>
      <c r="AH23" s="121"/>
    </row>
    <row r="24" spans="2:34" x14ac:dyDescent="0.55000000000000004">
      <c r="J24" s="90"/>
      <c r="K24" s="90">
        <f t="shared" ref="K24" si="44">COUNTIF(K25:K28,"〇")</f>
        <v>1</v>
      </c>
      <c r="L24" s="90">
        <f t="shared" ref="L24" si="45">COUNTIF(L25:L28,"〇")</f>
        <v>1</v>
      </c>
      <c r="M24" s="90">
        <f t="shared" ref="M24" si="46">COUNTIF(M25:M28,"〇")</f>
        <v>0</v>
      </c>
      <c r="N24" s="94">
        <f t="shared" ref="N24" si="47">COUNTIF(N25:N28,"〇")</f>
        <v>2</v>
      </c>
      <c r="O24" s="90">
        <f t="shared" ref="O24" si="48">COUNTIF(O25:O28,"〇")</f>
        <v>2</v>
      </c>
      <c r="P24" s="90">
        <f t="shared" ref="P24" si="49">COUNTIF(P25:P28,"〇")</f>
        <v>2</v>
      </c>
      <c r="Q24" s="93">
        <f>COUNTIF(Q25:Q28,"〇")</f>
        <v>2</v>
      </c>
      <c r="R24" s="94">
        <f>COUNTIF(R25:R28,"〇")</f>
        <v>4</v>
      </c>
      <c r="S24" s="90">
        <f t="shared" ref="S24" si="50">COUNTIF(S25:S28,"〇")</f>
        <v>1</v>
      </c>
      <c r="T24" s="90">
        <f t="shared" ref="T24" si="51">COUNTIF(T25:T28,"〇")</f>
        <v>2</v>
      </c>
      <c r="U24" s="91">
        <f t="shared" ref="U24" si="52">COUNTIF(U25:U28,"〇")</f>
        <v>1</v>
      </c>
      <c r="V24" s="92">
        <f t="shared" ref="V24" si="53">COUNTIF(V25:V28,"〇")</f>
        <v>2</v>
      </c>
      <c r="W24" s="90">
        <f t="shared" ref="W24" si="54">COUNTIF(W25:W28,"〇")</f>
        <v>4</v>
      </c>
      <c r="X24" s="90">
        <f t="shared" ref="X24" si="55">COUNTIF(X25:X28,"〇")</f>
        <v>2</v>
      </c>
      <c r="Y24" s="90">
        <f t="shared" ref="Y24" si="56">COUNTIF(Y25:Y28,"〇")</f>
        <v>2</v>
      </c>
      <c r="Z24" s="231" t="s">
        <v>21</v>
      </c>
      <c r="AA24" s="121"/>
      <c r="AB24" s="121"/>
      <c r="AC24" s="121"/>
      <c r="AD24" s="121"/>
      <c r="AE24" s="121"/>
      <c r="AF24" s="121"/>
      <c r="AG24" s="121"/>
      <c r="AH24" s="121"/>
    </row>
    <row r="25" spans="2:34" x14ac:dyDescent="0.55000000000000004">
      <c r="J25" s="95"/>
      <c r="K25" s="95"/>
      <c r="L25" s="95"/>
      <c r="M25" s="95"/>
      <c r="N25" s="95" t="s">
        <v>118</v>
      </c>
      <c r="O25" s="95"/>
      <c r="P25" s="95"/>
      <c r="Q25" s="95" t="s">
        <v>118</v>
      </c>
      <c r="R25" s="95" t="s">
        <v>118</v>
      </c>
      <c r="S25" s="95"/>
      <c r="T25" s="95" t="s">
        <v>118</v>
      </c>
      <c r="U25" s="96"/>
      <c r="V25" s="97"/>
      <c r="W25" s="95" t="s">
        <v>118</v>
      </c>
      <c r="X25" s="95"/>
      <c r="Y25" s="95" t="s">
        <v>118</v>
      </c>
      <c r="Z25" s="231" t="s">
        <v>22</v>
      </c>
      <c r="AA25" s="121"/>
      <c r="AB25" s="121"/>
      <c r="AC25" s="121"/>
      <c r="AD25" s="121"/>
      <c r="AE25" s="121"/>
      <c r="AF25" s="121"/>
      <c r="AG25" s="121"/>
      <c r="AH25" s="121"/>
    </row>
    <row r="26" spans="2:34" x14ac:dyDescent="0.55000000000000004">
      <c r="J26" s="95" t="s">
        <v>118</v>
      </c>
      <c r="K26" s="95"/>
      <c r="L26" s="95" t="s">
        <v>118</v>
      </c>
      <c r="M26" s="95"/>
      <c r="N26" s="99"/>
      <c r="O26" s="95" t="s">
        <v>118</v>
      </c>
      <c r="P26" s="95" t="s">
        <v>118</v>
      </c>
      <c r="Q26" s="98"/>
      <c r="R26" s="95" t="s">
        <v>118</v>
      </c>
      <c r="S26" s="95"/>
      <c r="T26" s="95"/>
      <c r="U26" s="95" t="s">
        <v>118</v>
      </c>
      <c r="V26" s="95" t="s">
        <v>118</v>
      </c>
      <c r="W26" s="95" t="s">
        <v>118</v>
      </c>
      <c r="X26" s="95" t="s">
        <v>118</v>
      </c>
      <c r="Y26" s="95" t="s">
        <v>118</v>
      </c>
      <c r="Z26" s="231" t="s">
        <v>24</v>
      </c>
      <c r="AA26" s="121"/>
      <c r="AB26" s="121"/>
      <c r="AC26" s="121"/>
      <c r="AD26" s="121"/>
      <c r="AE26" s="121"/>
      <c r="AF26" s="121"/>
      <c r="AG26" s="121"/>
      <c r="AH26" s="121"/>
    </row>
    <row r="27" spans="2:34" x14ac:dyDescent="0.55000000000000004">
      <c r="J27" s="95"/>
      <c r="K27" s="95" t="s">
        <v>118</v>
      </c>
      <c r="L27" s="95"/>
      <c r="M27" s="95"/>
      <c r="N27" s="95" t="s">
        <v>118</v>
      </c>
      <c r="O27" s="95" t="s">
        <v>118</v>
      </c>
      <c r="P27" s="95"/>
      <c r="Q27" s="98"/>
      <c r="R27" s="95" t="s">
        <v>118</v>
      </c>
      <c r="S27" s="95"/>
      <c r="T27" s="95" t="s">
        <v>118</v>
      </c>
      <c r="U27" s="95"/>
      <c r="V27" s="95" t="s">
        <v>118</v>
      </c>
      <c r="W27" s="95" t="s">
        <v>118</v>
      </c>
      <c r="X27" s="95"/>
      <c r="Y27" s="95"/>
      <c r="Z27" s="231" t="s">
        <v>26</v>
      </c>
      <c r="AA27" s="121"/>
      <c r="AB27" s="121"/>
      <c r="AC27" s="121"/>
      <c r="AD27" s="121"/>
      <c r="AE27" s="121"/>
      <c r="AF27" s="121"/>
      <c r="AG27" s="121"/>
      <c r="AH27" s="121"/>
    </row>
    <row r="28" spans="2:34" x14ac:dyDescent="0.55000000000000004">
      <c r="J28" s="95"/>
      <c r="K28" s="95"/>
      <c r="L28" s="95"/>
      <c r="M28" s="95"/>
      <c r="N28" s="99"/>
      <c r="O28" s="95"/>
      <c r="P28" s="95" t="s">
        <v>118</v>
      </c>
      <c r="Q28" s="95" t="s">
        <v>118</v>
      </c>
      <c r="R28" s="95" t="s">
        <v>118</v>
      </c>
      <c r="S28" s="95" t="s">
        <v>118</v>
      </c>
      <c r="T28" s="95"/>
      <c r="U28" s="96"/>
      <c r="V28" s="97"/>
      <c r="W28" s="95" t="s">
        <v>118</v>
      </c>
      <c r="X28" s="95" t="s">
        <v>118</v>
      </c>
      <c r="Y28" s="95"/>
      <c r="Z28" s="231" t="s">
        <v>28</v>
      </c>
      <c r="AA28" s="121"/>
      <c r="AB28" s="121"/>
      <c r="AC28" s="121"/>
      <c r="AD28" s="121"/>
      <c r="AE28" s="121"/>
      <c r="AF28" s="121"/>
      <c r="AG28" s="121"/>
      <c r="AH28" s="121"/>
    </row>
    <row r="29" spans="2:34" x14ac:dyDescent="0.55000000000000004">
      <c r="J29" s="90">
        <f t="shared" ref="J29" si="57">COUNTIF(J30:J33,"〇")</f>
        <v>2</v>
      </c>
      <c r="K29" s="90">
        <f t="shared" ref="K29" si="58">COUNTIF(K30:K33,"〇")</f>
        <v>2</v>
      </c>
      <c r="L29" s="90">
        <f t="shared" ref="L29" si="59">COUNTIF(L30:L33,"〇")</f>
        <v>2</v>
      </c>
      <c r="M29" s="90">
        <f t="shared" ref="M29" si="60">COUNTIF(M30:M33,"〇")</f>
        <v>2</v>
      </c>
      <c r="N29" s="94">
        <f t="shared" ref="N29" si="61">COUNTIF(N30:N33,"〇")</f>
        <v>2</v>
      </c>
      <c r="O29" s="90">
        <f t="shared" ref="O29" si="62">COUNTIF(O30:O33,"〇")</f>
        <v>2</v>
      </c>
      <c r="P29" s="90">
        <f t="shared" ref="P29" si="63">COUNTIF(P30:P33,"〇")</f>
        <v>2</v>
      </c>
      <c r="Q29" s="93">
        <f>COUNTIF(Q30:Q33,"〇")</f>
        <v>3</v>
      </c>
      <c r="R29" s="94">
        <f>COUNTIF(R30:R33,"〇")</f>
        <v>3</v>
      </c>
      <c r="S29" s="90">
        <f>COUNTIF(S30:S33,"〇")</f>
        <v>1</v>
      </c>
      <c r="T29" s="90">
        <f>COUNTIF(T30:T33,"〇")</f>
        <v>2</v>
      </c>
      <c r="U29" s="91">
        <f>COUNTIF(U30:U33,"〇")</f>
        <v>2</v>
      </c>
      <c r="V29" s="92">
        <f>COUNTIF(V30:V33,"〇")</f>
        <v>2</v>
      </c>
      <c r="W29" s="90">
        <f>COUNTIF(W30:W33,"〇")</f>
        <v>3</v>
      </c>
      <c r="X29" s="90">
        <f>COUNTIF(X30:X33,"〇")</f>
        <v>2</v>
      </c>
      <c r="Y29" s="90">
        <f>COUNTIF(Y30:Y33,"〇")</f>
        <v>3</v>
      </c>
      <c r="Z29" s="231" t="s">
        <v>20</v>
      </c>
      <c r="AA29" s="121"/>
      <c r="AB29" s="121"/>
      <c r="AC29" s="121"/>
      <c r="AD29" s="121"/>
      <c r="AE29" s="121"/>
      <c r="AF29" s="121"/>
      <c r="AG29" s="121"/>
      <c r="AH29" s="121"/>
    </row>
    <row r="30" spans="2:34" x14ac:dyDescent="0.55000000000000004">
      <c r="J30" s="95" t="s">
        <v>118</v>
      </c>
      <c r="K30" s="95" t="s">
        <v>118</v>
      </c>
      <c r="L30" s="95"/>
      <c r="M30" s="95"/>
      <c r="N30" s="99"/>
      <c r="O30" s="95" t="s">
        <v>118</v>
      </c>
      <c r="P30" s="95"/>
      <c r="Q30" s="95" t="s">
        <v>118</v>
      </c>
      <c r="R30" s="95" t="s">
        <v>118</v>
      </c>
      <c r="S30" s="95"/>
      <c r="T30" s="95" t="s">
        <v>118</v>
      </c>
      <c r="U30" s="95" t="s">
        <v>118</v>
      </c>
      <c r="V30" s="97"/>
      <c r="W30" s="95" t="s">
        <v>118</v>
      </c>
      <c r="X30" s="95" t="s">
        <v>118</v>
      </c>
      <c r="Y30" s="95" t="s">
        <v>118</v>
      </c>
      <c r="Z30" s="231" t="s">
        <v>22</v>
      </c>
      <c r="AA30" s="121"/>
      <c r="AB30" s="121"/>
      <c r="AC30" s="121"/>
      <c r="AD30" s="121"/>
      <c r="AE30" s="121"/>
      <c r="AF30" s="121"/>
      <c r="AG30" s="121"/>
      <c r="AH30" s="121"/>
    </row>
    <row r="31" spans="2:34" x14ac:dyDescent="0.55000000000000004">
      <c r="J31" s="95"/>
      <c r="K31" s="95"/>
      <c r="L31" s="95" t="s">
        <v>118</v>
      </c>
      <c r="M31" s="95" t="s">
        <v>118</v>
      </c>
      <c r="N31" s="95" t="s">
        <v>118</v>
      </c>
      <c r="O31" s="95"/>
      <c r="P31" s="95" t="s">
        <v>118</v>
      </c>
      <c r="Q31" s="95" t="s">
        <v>118</v>
      </c>
      <c r="R31" s="95" t="s">
        <v>118</v>
      </c>
      <c r="S31" s="95" t="s">
        <v>118</v>
      </c>
      <c r="T31" s="95"/>
      <c r="U31" s="96"/>
      <c r="V31" s="95" t="s">
        <v>118</v>
      </c>
      <c r="W31" s="95" t="s">
        <v>118</v>
      </c>
      <c r="X31" s="95"/>
      <c r="Y31" s="95" t="s">
        <v>118</v>
      </c>
      <c r="Z31" s="231" t="s">
        <v>24</v>
      </c>
      <c r="AA31" s="121"/>
      <c r="AB31" s="121"/>
      <c r="AC31" s="121"/>
      <c r="AD31" s="121"/>
      <c r="AE31" s="121"/>
      <c r="AF31" s="121"/>
      <c r="AG31" s="121"/>
      <c r="AH31" s="121"/>
    </row>
    <row r="32" spans="2:34" x14ac:dyDescent="0.55000000000000004">
      <c r="J32" s="95"/>
      <c r="K32" s="95" t="s">
        <v>118</v>
      </c>
      <c r="L32" s="95"/>
      <c r="M32" s="95" t="s">
        <v>118</v>
      </c>
      <c r="N32" s="95" t="s">
        <v>118</v>
      </c>
      <c r="O32" s="95"/>
      <c r="P32" s="95" t="s">
        <v>118</v>
      </c>
      <c r="Q32" s="95" t="s">
        <v>118</v>
      </c>
      <c r="R32" s="95" t="s">
        <v>118</v>
      </c>
      <c r="S32" s="95"/>
      <c r="T32" s="95"/>
      <c r="U32" s="95" t="s">
        <v>118</v>
      </c>
      <c r="V32" s="95" t="s">
        <v>118</v>
      </c>
      <c r="W32" s="95"/>
      <c r="X32" s="95" t="s">
        <v>118</v>
      </c>
      <c r="Y32" s="95"/>
      <c r="Z32" s="231" t="s">
        <v>26</v>
      </c>
      <c r="AA32" s="121"/>
      <c r="AB32" s="121"/>
      <c r="AC32" s="121"/>
      <c r="AD32" s="121"/>
      <c r="AE32" s="121"/>
      <c r="AF32" s="121"/>
      <c r="AG32" s="121"/>
      <c r="AH32" s="121"/>
    </row>
    <row r="33" spans="6:34" ht="33" thickBot="1" x14ac:dyDescent="0.6">
      <c r="J33" s="95" t="s">
        <v>118</v>
      </c>
      <c r="K33" s="95"/>
      <c r="L33" s="95" t="s">
        <v>118</v>
      </c>
      <c r="M33" s="95"/>
      <c r="N33" s="99"/>
      <c r="O33" s="95" t="s">
        <v>118</v>
      </c>
      <c r="P33" s="95"/>
      <c r="Q33" s="98"/>
      <c r="R33" s="99"/>
      <c r="S33" s="95"/>
      <c r="T33" s="95" t="s">
        <v>118</v>
      </c>
      <c r="U33" s="96"/>
      <c r="V33" s="97"/>
      <c r="W33" s="95" t="s">
        <v>118</v>
      </c>
      <c r="X33" s="95"/>
      <c r="Y33" s="95" t="s">
        <v>118</v>
      </c>
      <c r="Z33" s="232" t="s">
        <v>28</v>
      </c>
      <c r="AA33" s="121"/>
      <c r="AB33" s="121"/>
      <c r="AC33" s="121"/>
      <c r="AD33" s="121"/>
      <c r="AE33" s="121"/>
      <c r="AF33" s="121"/>
      <c r="AG33" s="121"/>
      <c r="AH33" s="121"/>
    </row>
    <row r="34" spans="6:34" x14ac:dyDescent="0.55000000000000004">
      <c r="J34" s="105">
        <f>IF(選手!C41&lt;&gt;"",選手!C41,"")</f>
        <v>40</v>
      </c>
      <c r="K34" s="105">
        <f>IF(選手!C40&lt;&gt;"",選手!C40,"")</f>
        <v>39</v>
      </c>
      <c r="L34" s="105">
        <f>IF(選手!C39&lt;&gt;"",選手!C39,"")</f>
        <v>38</v>
      </c>
      <c r="M34" s="105">
        <f>IF(選手!C38&lt;&gt;"",選手!C38,"")</f>
        <v>37</v>
      </c>
      <c r="N34" s="109">
        <f>IF(選手!C37&lt;&gt;"",選手!C37,"")</f>
        <v>36</v>
      </c>
      <c r="O34" s="105">
        <f>IF(選手!C36&lt;&gt;"",選手!C36,"")</f>
        <v>35</v>
      </c>
      <c r="P34" s="105">
        <f>IF(選手!C35&lt;&gt;"",選手!C35,"")</f>
        <v>34</v>
      </c>
      <c r="Q34" s="108">
        <f>IF(選手!C34&lt;&gt;"",選手!C34,"")</f>
        <v>33</v>
      </c>
      <c r="R34" s="109">
        <f>IF(選手!C33&lt;&gt;"",選手!C33,"")</f>
        <v>32</v>
      </c>
      <c r="S34" s="105">
        <f>IF(選手!C32&lt;&gt;"",選手!C32,"")</f>
        <v>31</v>
      </c>
      <c r="T34" s="105">
        <f>IF(選手!C31&lt;&gt;"",選手!C31,"")</f>
        <v>30</v>
      </c>
      <c r="U34" s="106">
        <f>IF(選手!C30&lt;&gt;"",選手!C30,"")</f>
        <v>29</v>
      </c>
      <c r="V34" s="107">
        <f>IF(選手!C29&lt;&gt;"",選手!C29,"")</f>
        <v>28</v>
      </c>
      <c r="W34" s="105">
        <f>IF(選手!C28&lt;&gt;"",選手!C28,"")</f>
        <v>27</v>
      </c>
      <c r="X34" s="105">
        <f>IF(選手!C27&lt;&gt;"",選手!C27,"")</f>
        <v>26</v>
      </c>
      <c r="Y34" s="105">
        <f>IF(選手!C26&lt;&gt;"",選手!C26,"")</f>
        <v>25</v>
      </c>
      <c r="Z34" s="233" t="s">
        <v>18</v>
      </c>
      <c r="AA34" s="121"/>
      <c r="AB34" s="121"/>
      <c r="AC34" s="121"/>
      <c r="AD34" s="121"/>
      <c r="AE34" s="121"/>
      <c r="AF34" s="121"/>
      <c r="AG34" s="121"/>
      <c r="AH34" s="121"/>
    </row>
    <row r="35" spans="6:34" x14ac:dyDescent="0.55000000000000004">
      <c r="J35" s="110" t="str">
        <f>IF(選手!E41&lt;&gt;"",選手!E41,"")</f>
        <v>女</v>
      </c>
      <c r="K35" s="110" t="str">
        <f>IF(選手!E40&lt;&gt;"",選手!E40,"")</f>
        <v>女</v>
      </c>
      <c r="L35" s="110" t="str">
        <f>IF(選手!E39&lt;&gt;"",選手!E39,"")</f>
        <v>女</v>
      </c>
      <c r="M35" s="110" t="str">
        <f>IF(選手!E38&lt;&gt;"",選手!E38,"")</f>
        <v>女</v>
      </c>
      <c r="N35" s="114" t="str">
        <f>IF(選手!E37&lt;&gt;"",選手!E37,"")</f>
        <v>男</v>
      </c>
      <c r="O35" s="110" t="str">
        <f>IF(選手!E36&lt;&gt;"",選手!E36,"")</f>
        <v>男</v>
      </c>
      <c r="P35" s="110" t="str">
        <f>IF(選手!E35&lt;&gt;"",選手!E35,"")</f>
        <v>男</v>
      </c>
      <c r="Q35" s="113" t="str">
        <f>IF(選手!E34&lt;&gt;"",選手!E34,"")</f>
        <v>男</v>
      </c>
      <c r="R35" s="114" t="str">
        <f>IF(選手!E33&lt;&gt;"",選手!E33,"")</f>
        <v>女</v>
      </c>
      <c r="S35" s="110" t="str">
        <f>IF(選手!E32&lt;&gt;"",選手!E32,"")</f>
        <v>女</v>
      </c>
      <c r="T35" s="110" t="str">
        <f>IF(選手!E31&lt;&gt;"",選手!E31,"")</f>
        <v>女</v>
      </c>
      <c r="U35" s="111" t="str">
        <f>IF(選手!E30&lt;&gt;"",選手!E30,"")</f>
        <v>女</v>
      </c>
      <c r="V35" s="112" t="str">
        <f>IF(選手!E29&lt;&gt;"",選手!E29,"")</f>
        <v>男</v>
      </c>
      <c r="W35" s="110" t="str">
        <f>IF(選手!E28&lt;&gt;"",選手!E28,"")</f>
        <v>男</v>
      </c>
      <c r="X35" s="110" t="str">
        <f>IF(選手!E27&lt;&gt;"",選手!E27,"")</f>
        <v>男</v>
      </c>
      <c r="Y35" s="110" t="str">
        <f>IF(選手!E26&lt;&gt;"",選手!E26,"")</f>
        <v>男</v>
      </c>
      <c r="Z35" s="231" t="s">
        <v>1</v>
      </c>
      <c r="AA35" s="121"/>
      <c r="AB35" s="121"/>
      <c r="AC35" s="121"/>
      <c r="AD35" s="121"/>
      <c r="AE35" s="121"/>
      <c r="AF35" s="121"/>
      <c r="AG35" s="121"/>
      <c r="AH35" s="121"/>
    </row>
    <row r="36" spans="6:34" ht="155.5" customHeight="1" x14ac:dyDescent="0.55000000000000004">
      <c r="J36" s="116" t="str">
        <f>IF(選手!D41&lt;&gt;"",選手!D41,"")</f>
        <v>加藤 康子</v>
      </c>
      <c r="K36" s="116" t="str">
        <f>IF(選手!D40&lt;&gt;"",選手!D40,"")</f>
        <v>安達 初枝</v>
      </c>
      <c r="L36" s="116" t="str">
        <f>IF(選手!D39&lt;&gt;"",選手!D39,"")</f>
        <v>北川 裕希子</v>
      </c>
      <c r="M36" s="116" t="str">
        <f>IF(選手!D38&lt;&gt;"",選手!D38,"")</f>
        <v>田中 沙紀子</v>
      </c>
      <c r="N36" s="120" t="str">
        <f>IF(選手!D37&lt;&gt;"",選手!D37,"")</f>
        <v>山田 英治</v>
      </c>
      <c r="O36" s="116" t="str">
        <f>IF(選手!D36&lt;&gt;"",選手!D36,"")</f>
        <v>大竹 誠</v>
      </c>
      <c r="P36" s="116" t="str">
        <f>IF(選手!D35&lt;&gt;"",選手!D35,"")</f>
        <v>角谷 昌紀</v>
      </c>
      <c r="Q36" s="119" t="str">
        <f>IF(選手!D34&lt;&gt;"",選手!D34,"")</f>
        <v>西尾 雅司</v>
      </c>
      <c r="R36" s="120" t="str">
        <f>IF(選手!D33&lt;&gt;"",選手!D33,"")</f>
        <v>野々垣 奈緒子</v>
      </c>
      <c r="S36" s="116" t="str">
        <f>IF(選手!D32&lt;&gt;"",選手!D32,"")</f>
        <v>水野 三穂</v>
      </c>
      <c r="T36" s="116" t="str">
        <f>IF(選手!D31&lt;&gt;"",選手!D31,"")</f>
        <v>上平 佳織</v>
      </c>
      <c r="U36" s="117" t="str">
        <f>IF(選手!D30&lt;&gt;"",選手!D30,"")</f>
        <v>澤田 圭子</v>
      </c>
      <c r="V36" s="118" t="str">
        <f>IF(選手!D27&lt;&gt;"",選手!D27,"")</f>
        <v>松永 安太郎</v>
      </c>
      <c r="W36" s="116" t="str">
        <f>IF(選手!D29&lt;&gt;"",選手!D29,"")</f>
        <v>芝田 典久</v>
      </c>
      <c r="X36" s="116" t="str">
        <f>IF(選手!D28&lt;&gt;"",選手!D28,"")</f>
        <v>山本 三郎</v>
      </c>
      <c r="Y36" s="116" t="str">
        <f>IF(選手!D26&lt;&gt;"",選手!D26,"")</f>
        <v>葛西 裕文</v>
      </c>
      <c r="Z36" s="115" t="s">
        <v>58</v>
      </c>
      <c r="AA36" s="121"/>
      <c r="AB36" s="121"/>
      <c r="AC36" s="121"/>
      <c r="AD36" s="121"/>
      <c r="AE36" s="121"/>
      <c r="AF36" s="121"/>
      <c r="AG36" s="121"/>
      <c r="AH36" s="121"/>
    </row>
    <row r="38" spans="6:34" x14ac:dyDescent="0.55000000000000004">
      <c r="F38" s="181" t="str">
        <f>選手!B58</f>
        <v>瀬戸B</v>
      </c>
      <c r="G38" s="179"/>
      <c r="H38" s="179"/>
      <c r="I38" s="180"/>
      <c r="J38" s="179" t="str">
        <f>選手!B54</f>
        <v>瀬戸A</v>
      </c>
      <c r="K38" s="179"/>
      <c r="L38" s="179"/>
      <c r="M38" s="179"/>
      <c r="N38" s="182" t="str">
        <f>選手!B50</f>
        <v>愛知A</v>
      </c>
      <c r="O38" s="179"/>
      <c r="P38" s="179"/>
      <c r="Q38" s="183"/>
      <c r="R38" s="182" t="str">
        <f>選手!B46</f>
        <v>西春日井B</v>
      </c>
      <c r="S38" s="179"/>
      <c r="T38" s="179"/>
      <c r="U38" s="183"/>
      <c r="V38" s="179" t="str">
        <f>選手!B42</f>
        <v>西春日井A</v>
      </c>
      <c r="W38" s="179"/>
      <c r="X38" s="179"/>
      <c r="Y38" s="180"/>
      <c r="Z38" s="231" t="s">
        <v>2</v>
      </c>
    </row>
    <row r="39" spans="6:34" x14ac:dyDescent="0.55000000000000004">
      <c r="F39" s="175">
        <f>SUM(F41:I41)</f>
        <v>15</v>
      </c>
      <c r="G39" s="175"/>
      <c r="H39" s="175"/>
      <c r="I39" s="175"/>
      <c r="J39" s="174">
        <f>SUM(J41:M41)</f>
        <v>14</v>
      </c>
      <c r="K39" s="175"/>
      <c r="L39" s="175"/>
      <c r="M39" s="178"/>
      <c r="N39" s="176">
        <f t="shared" ref="N39" si="64">SUM(N41:Q41)</f>
        <v>19</v>
      </c>
      <c r="O39" s="175"/>
      <c r="P39" s="175"/>
      <c r="Q39" s="177"/>
      <c r="R39" s="176">
        <f t="shared" ref="R39" si="65">SUM(R41:U41)</f>
        <v>13</v>
      </c>
      <c r="S39" s="175"/>
      <c r="T39" s="175"/>
      <c r="U39" s="177"/>
      <c r="V39" s="174">
        <f t="shared" ref="V39" si="66">SUM(V41:Y41)</f>
        <v>7</v>
      </c>
      <c r="W39" s="175"/>
      <c r="X39" s="175"/>
      <c r="Y39" s="175"/>
      <c r="Z39" s="231" t="s">
        <v>3</v>
      </c>
    </row>
    <row r="40" spans="6:34" hidden="1" x14ac:dyDescent="0.55000000000000004">
      <c r="F40" s="80">
        <f>F41+0.1+(IF(F51="〇",1,0)*0.01)+(IF(F50="〇",1,0)*0.001)+(IF(F49="〇",1,0)*0.0001)+(IF(F48="〇",1,0)*0.00001)+(IF(F46="〇",1,0)*0.000001)+(IF(F45="〇",1,0)*0.0000001)+(IF(F44="〇",1,0)*0.00000001)+(IF(F43="〇",1,0)*0.000000001)</f>
        <v>3.1001010010000005</v>
      </c>
      <c r="G40" s="80">
        <f>G41+0.1+(IF(G51="〇",1,0)*0.01)+(IF(G50="〇",1,0)*0.001)+(IF(G49="〇",1,0)*0.0001)+(IF(G48="〇",1,0)*0.00001)+(IF(G46="〇",1,0)*0.000001)+(IF(G45="〇",1,0)*0.0000001)+(IF(G44="〇",1,0)*0.00000001)+(IF(G43="〇",1,0)*0.000000001)</f>
        <v>5.1110101099999996</v>
      </c>
      <c r="H40" s="80">
        <f>H41+0.1+(IF(H51="〇",1,0)*0.01)+(IF(H50="〇",1,0)*0.001)+(IF(H49="〇",1,0)*0.0001)+(IF(H48="〇",1,0)*0.00001)+(IF(H46="〇",1,0)*0.000001)+(IF(H45="〇",1,0)*0.0000001)+(IF(H44="〇",1,0)*0.00000001)+(IF(H43="〇",1,0)*0.000000001)</f>
        <v>4.10110011</v>
      </c>
      <c r="I40" s="80">
        <f>I41+0.1+(IF(I51="〇",1,0)*0.01)+(IF(I50="〇",1,0)*0.001)+(IF(I49="〇",1,0)*0.0001)+(IF(I48="〇",1,0)*0.00001)+(IF(I46="〇",1,0)*0.000001)+(IF(I45="〇",1,0)*0.0000001)+(IF(I44="〇",1,0)*0.00000001)+(IF(I43="〇",1,0)*0.000000001)</f>
        <v>3.1100010010000001</v>
      </c>
      <c r="J40" s="84">
        <f>J41+0.1+(IF(J51="〇",1,0)*0.01)+(IF(J50="〇",1,0)*0.001)+(IF(J49="〇",1,0)*0.0001)+(IF(J48="〇",1,0)*0.00001)+(IF(J46="〇",1,0)*0.000001)+(IF(J45="〇",1,0)*0.0000001)+(IF(J44="〇",1,0)*0.00000001)+(IF(J43="〇",1,0)*0.000000001)</f>
        <v>3.1001001010000002</v>
      </c>
      <c r="K40" s="80">
        <f>K41+0.1+(IF(K51="〇",1,0)*0.01)+(IF(K50="〇",1,0)*0.001)+(IF(K49="〇",1,0)*0.0001)+(IF(K48="〇",1,0)*0.00001)+(IF(K46="〇",1,0)*0.000001)+(IF(K45="〇",1,0)*0.0000001)+(IF(K44="〇",1,0)*0.00000001)+(IF(K43="〇",1,0)*0.000000001)</f>
        <v>3.10101001</v>
      </c>
      <c r="L40" s="80">
        <f>L41+0.1+(IF(L51="〇",1,0)*0.01)+(IF(L50="〇",1,0)*0.001)+(IF(L49="〇",1,0)*0.0001)+(IF(L48="〇",1,0)*0.00001)+(IF(L46="〇",1,0)*0.000001)+(IF(L45="〇",1,0)*0.0000001)+(IF(L44="〇",1,0)*0.00000001)+(IF(L43="〇",1,0)*0.000000001)</f>
        <v>6.1111011099999999</v>
      </c>
      <c r="M40" s="81">
        <f>M41+0.1+(IF(M51="〇",1,0)*0.01)+(IF(M50="〇",1,0)*0.001)+(IF(M49="〇",1,0)*0.0001)+(IF(M48="〇",1,0)*0.00001)+(IF(M46="〇",1,0)*0.000001)+(IF(M45="〇",1,0)*0.0000001)+(IF(M44="〇",1,0)*0.00000001)+(IF(M43="〇",1,0)*0.000000001)</f>
        <v>2.110000001</v>
      </c>
      <c r="N40" s="82">
        <f t="shared" ref="N40:Y40" si="67">N41+0.1+(IF(N51="〇",1,0)*0.01)+(IF(N50="〇",1,0)*0.001)+(IF(N49="〇",1,0)*0.0001)+(IF(N48="〇",1,0)*0.00001)+(IF(N46="〇",1,0)*0.000001)+(IF(N45="〇",1,0)*0.0000001)+(IF(N44="〇",1,0)*0.00000001)+(IF(N43="〇",1,0)*0.000000001)</f>
        <v>6.1111010109999997</v>
      </c>
      <c r="O40" s="80">
        <f t="shared" si="67"/>
        <v>5.1011101009999997</v>
      </c>
      <c r="P40" s="80">
        <f t="shared" si="67"/>
        <v>4.1101010099999993</v>
      </c>
      <c r="Q40" s="80">
        <f t="shared" si="67"/>
        <v>4.1010111</v>
      </c>
      <c r="R40" s="80">
        <f t="shared" si="67"/>
        <v>1.10000001</v>
      </c>
      <c r="S40" s="80">
        <f t="shared" si="67"/>
        <v>4.1101001009999996</v>
      </c>
      <c r="T40" s="80">
        <f t="shared" si="67"/>
        <v>3.1011000100000001</v>
      </c>
      <c r="U40" s="83">
        <f t="shared" si="67"/>
        <v>5.1001101109999993</v>
      </c>
      <c r="V40" s="84">
        <f t="shared" si="67"/>
        <v>1.10000001</v>
      </c>
      <c r="W40" s="80">
        <f t="shared" si="67"/>
        <v>2.1001001000000001</v>
      </c>
      <c r="X40" s="80">
        <f t="shared" si="67"/>
        <v>2.1010000999999998</v>
      </c>
      <c r="Y40" s="80">
        <f t="shared" si="67"/>
        <v>2.1001000010000004</v>
      </c>
      <c r="Z40" s="231" t="s">
        <v>32</v>
      </c>
    </row>
    <row r="41" spans="6:34" x14ac:dyDescent="0.55000000000000004">
      <c r="F41" s="85">
        <f t="shared" ref="F41" si="68">F42+F47</f>
        <v>3</v>
      </c>
      <c r="G41" s="85">
        <f t="shared" ref="G41" si="69">G42+G47</f>
        <v>5</v>
      </c>
      <c r="H41" s="85">
        <f t="shared" ref="H41" si="70">H42+H47</f>
        <v>4</v>
      </c>
      <c r="I41" s="85">
        <f t="shared" ref="I41" si="71">I42+I47</f>
        <v>3</v>
      </c>
      <c r="J41" s="89">
        <f>J42+J47</f>
        <v>3</v>
      </c>
      <c r="K41" s="85">
        <f>K42+K47</f>
        <v>3</v>
      </c>
      <c r="L41" s="85">
        <f>L42+L47</f>
        <v>6</v>
      </c>
      <c r="M41" s="86">
        <f>M42+M47</f>
        <v>2</v>
      </c>
      <c r="N41" s="87">
        <f t="shared" ref="N41" si="72">N42+N47</f>
        <v>6</v>
      </c>
      <c r="O41" s="85">
        <f t="shared" ref="O41" si="73">O42+O47</f>
        <v>5</v>
      </c>
      <c r="P41" s="85">
        <f t="shared" ref="P41" si="74">P42+P47</f>
        <v>4</v>
      </c>
      <c r="Q41" s="88">
        <f t="shared" ref="Q41" si="75">Q42+Q47</f>
        <v>4</v>
      </c>
      <c r="R41" s="87">
        <f t="shared" ref="R41" si="76">R42+R47</f>
        <v>1</v>
      </c>
      <c r="S41" s="85">
        <f t="shared" ref="S41" si="77">S42+S47</f>
        <v>4</v>
      </c>
      <c r="T41" s="85">
        <f t="shared" ref="T41" si="78">T42+T47</f>
        <v>3</v>
      </c>
      <c r="U41" s="88">
        <f t="shared" ref="U41" si="79">U42+U47</f>
        <v>5</v>
      </c>
      <c r="V41" s="89">
        <f t="shared" ref="V41" si="80">V42+V47</f>
        <v>1</v>
      </c>
      <c r="W41" s="85">
        <f t="shared" ref="W41" si="81">W42+W47</f>
        <v>2</v>
      </c>
      <c r="X41" s="85">
        <f t="shared" ref="X41" si="82">X42+X47</f>
        <v>2</v>
      </c>
      <c r="Y41" s="85">
        <f t="shared" ref="Y41" si="83">Y42+Y47</f>
        <v>2</v>
      </c>
      <c r="Z41" s="231" t="s">
        <v>4</v>
      </c>
    </row>
    <row r="42" spans="6:34" x14ac:dyDescent="0.55000000000000004">
      <c r="F42" s="90">
        <f t="shared" ref="F42" si="84">COUNTIF(F43:F46,"〇")</f>
        <v>2</v>
      </c>
      <c r="G42" s="90">
        <f t="shared" ref="G42" si="85">COUNTIF(G43:G46,"〇")</f>
        <v>2</v>
      </c>
      <c r="H42" s="90">
        <f t="shared" ref="H42" si="86">COUNTIF(H43:H46,"〇")</f>
        <v>2</v>
      </c>
      <c r="I42" s="90">
        <f t="shared" ref="I42" si="87">COUNTIF(I43:I46,"〇")</f>
        <v>2</v>
      </c>
      <c r="J42" s="94">
        <f>COUNTIF(J43:J46,"〇")</f>
        <v>2</v>
      </c>
      <c r="K42" s="90">
        <f>COUNTIF(K43:K46,"〇")</f>
        <v>1</v>
      </c>
      <c r="L42" s="90">
        <f>COUNTIF(L43:L46,"〇")</f>
        <v>3</v>
      </c>
      <c r="M42" s="91">
        <f>COUNTIF(M43:M46,"〇")</f>
        <v>1</v>
      </c>
      <c r="N42" s="92">
        <f t="shared" ref="N42" si="88">COUNTIF(N43:N46,"〇")</f>
        <v>3</v>
      </c>
      <c r="O42" s="90">
        <f t="shared" ref="O42" si="89">COUNTIF(O43:O46,"〇")</f>
        <v>2</v>
      </c>
      <c r="P42" s="90">
        <f t="shared" ref="P42" si="90">COUNTIF(P43:P46,"〇")</f>
        <v>2</v>
      </c>
      <c r="Q42" s="93">
        <f t="shared" ref="Q42" si="91">COUNTIF(Q43:Q46,"〇")</f>
        <v>2</v>
      </c>
      <c r="R42" s="92">
        <f t="shared" ref="R42" si="92">COUNTIF(R43:R46,"〇")</f>
        <v>1</v>
      </c>
      <c r="S42" s="90">
        <f t="shared" ref="S42" si="93">COUNTIF(S43:S46,"〇")</f>
        <v>2</v>
      </c>
      <c r="T42" s="90">
        <f t="shared" ref="T42" si="94">COUNTIF(T43:T46,"〇")</f>
        <v>1</v>
      </c>
      <c r="U42" s="93">
        <f t="shared" ref="U42" si="95">COUNTIF(U43:U46,"〇")</f>
        <v>3</v>
      </c>
      <c r="V42" s="94">
        <f t="shared" ref="V42" si="96">COUNTIF(V43:V46,"〇")</f>
        <v>1</v>
      </c>
      <c r="W42" s="90">
        <f t="shared" ref="W42" si="97">COUNTIF(W43:W46,"〇")</f>
        <v>1</v>
      </c>
      <c r="X42" s="90">
        <f t="shared" ref="X42" si="98">COUNTIF(X43:X46,"〇")</f>
        <v>1</v>
      </c>
      <c r="Y42" s="90">
        <f t="shared" ref="Y42" si="99">COUNTIF(Y43:Y46,"〇")</f>
        <v>1</v>
      </c>
      <c r="Z42" s="231" t="s">
        <v>21</v>
      </c>
    </row>
    <row r="43" spans="6:34" x14ac:dyDescent="0.55000000000000004">
      <c r="F43" s="95" t="s">
        <v>118</v>
      </c>
      <c r="G43" s="95"/>
      <c r="H43" s="95"/>
      <c r="I43" s="95" t="s">
        <v>118</v>
      </c>
      <c r="J43" s="95" t="s">
        <v>118</v>
      </c>
      <c r="K43" s="95"/>
      <c r="L43" s="95"/>
      <c r="M43" s="95" t="s">
        <v>118</v>
      </c>
      <c r="N43" s="95" t="s">
        <v>118</v>
      </c>
      <c r="O43" s="95" t="s">
        <v>118</v>
      </c>
      <c r="P43" s="95"/>
      <c r="Q43" s="98"/>
      <c r="R43" s="97"/>
      <c r="S43" s="95" t="s">
        <v>118</v>
      </c>
      <c r="T43" s="95"/>
      <c r="U43" s="95" t="s">
        <v>118</v>
      </c>
      <c r="V43" s="99"/>
      <c r="W43" s="95"/>
      <c r="X43" s="95"/>
      <c r="Y43" s="95" t="s">
        <v>118</v>
      </c>
      <c r="Z43" s="231" t="s">
        <v>22</v>
      </c>
    </row>
    <row r="44" spans="6:34" x14ac:dyDescent="0.55000000000000004">
      <c r="F44" s="95"/>
      <c r="G44" s="95" t="s">
        <v>118</v>
      </c>
      <c r="H44" s="95" t="s">
        <v>118</v>
      </c>
      <c r="I44" s="95"/>
      <c r="J44" s="99"/>
      <c r="K44" s="95" t="s">
        <v>118</v>
      </c>
      <c r="L44" s="95" t="s">
        <v>118</v>
      </c>
      <c r="M44" s="96"/>
      <c r="N44" s="95" t="s">
        <v>118</v>
      </c>
      <c r="O44" s="95"/>
      <c r="P44" s="95" t="s">
        <v>118</v>
      </c>
      <c r="Q44" s="98"/>
      <c r="R44" s="95" t="s">
        <v>118</v>
      </c>
      <c r="S44" s="95"/>
      <c r="T44" s="95" t="s">
        <v>118</v>
      </c>
      <c r="U44" s="95" t="s">
        <v>118</v>
      </c>
      <c r="V44" s="95" t="s">
        <v>118</v>
      </c>
      <c r="W44" s="95"/>
      <c r="X44" s="95"/>
      <c r="Y44" s="95"/>
      <c r="Z44" s="231" t="s">
        <v>24</v>
      </c>
    </row>
    <row r="45" spans="6:34" x14ac:dyDescent="0.55000000000000004">
      <c r="F45" s="95"/>
      <c r="G45" s="95" t="s">
        <v>118</v>
      </c>
      <c r="H45" s="95" t="s">
        <v>118</v>
      </c>
      <c r="I45" s="95"/>
      <c r="J45" s="95" t="s">
        <v>118</v>
      </c>
      <c r="K45" s="95"/>
      <c r="L45" s="95" t="s">
        <v>118</v>
      </c>
      <c r="M45" s="96"/>
      <c r="N45" s="97"/>
      <c r="O45" s="95" t="s">
        <v>118</v>
      </c>
      <c r="P45" s="95"/>
      <c r="Q45" s="95" t="s">
        <v>118</v>
      </c>
      <c r="R45" s="97"/>
      <c r="S45" s="95" t="s">
        <v>118</v>
      </c>
      <c r="T45" s="95"/>
      <c r="U45" s="95" t="s">
        <v>118</v>
      </c>
      <c r="V45" s="99"/>
      <c r="W45" s="95" t="s">
        <v>118</v>
      </c>
      <c r="X45" s="95" t="s">
        <v>118</v>
      </c>
      <c r="Y45" s="95"/>
      <c r="Z45" s="231" t="s">
        <v>26</v>
      </c>
    </row>
    <row r="46" spans="6:34" x14ac:dyDescent="0.55000000000000004">
      <c r="F46" s="95" t="s">
        <v>118</v>
      </c>
      <c r="G46" s="95"/>
      <c r="H46" s="95"/>
      <c r="I46" s="95" t="s">
        <v>118</v>
      </c>
      <c r="J46" s="99"/>
      <c r="K46" s="95"/>
      <c r="L46" s="95" t="s">
        <v>118</v>
      </c>
      <c r="M46" s="96"/>
      <c r="N46" s="95" t="s">
        <v>118</v>
      </c>
      <c r="O46" s="95"/>
      <c r="P46" s="95" t="s">
        <v>118</v>
      </c>
      <c r="Q46" s="95" t="s">
        <v>118</v>
      </c>
      <c r="R46" s="97"/>
      <c r="S46" s="95"/>
      <c r="T46" s="95"/>
      <c r="U46" s="98"/>
      <c r="V46" s="99"/>
      <c r="W46" s="95"/>
      <c r="X46" s="95"/>
      <c r="Y46" s="95"/>
      <c r="Z46" s="231" t="s">
        <v>28</v>
      </c>
    </row>
    <row r="47" spans="6:34" x14ac:dyDescent="0.55000000000000004">
      <c r="F47" s="90">
        <f t="shared" ref="F47" si="100">COUNTIF(F48:F51,"〇")</f>
        <v>1</v>
      </c>
      <c r="G47" s="90">
        <f t="shared" ref="G47" si="101">COUNTIF(G48:G51,"〇")</f>
        <v>3</v>
      </c>
      <c r="H47" s="90">
        <f t="shared" ref="H47" si="102">COUNTIF(H48:H51,"〇")</f>
        <v>2</v>
      </c>
      <c r="I47" s="90">
        <f t="shared" ref="I47" si="103">COUNTIF(I48:I51,"〇")</f>
        <v>1</v>
      </c>
      <c r="J47" s="94">
        <f>COUNTIF(J48:J51,"〇")</f>
        <v>1</v>
      </c>
      <c r="K47" s="90">
        <f>COUNTIF(K48:K51,"〇")</f>
        <v>2</v>
      </c>
      <c r="L47" s="90">
        <f>COUNTIF(L48:L51,"〇")</f>
        <v>3</v>
      </c>
      <c r="M47" s="91">
        <f>COUNTIF(M48:M51,"〇")</f>
        <v>1</v>
      </c>
      <c r="N47" s="92">
        <f t="shared" ref="N47" si="104">COUNTIF(N48:N51,"〇")</f>
        <v>3</v>
      </c>
      <c r="O47" s="90">
        <f t="shared" ref="O47" si="105">COUNTIF(O48:O51,"〇")</f>
        <v>3</v>
      </c>
      <c r="P47" s="90">
        <f t="shared" ref="P47" si="106">COUNTIF(P48:P51,"〇")</f>
        <v>2</v>
      </c>
      <c r="Q47" s="93">
        <f t="shared" ref="Q47" si="107">COUNTIF(Q48:Q51,"〇")</f>
        <v>2</v>
      </c>
      <c r="R47" s="92">
        <f t="shared" ref="R47" si="108">COUNTIF(R48:R51,"〇")</f>
        <v>0</v>
      </c>
      <c r="S47" s="90">
        <f t="shared" ref="S47" si="109">COUNTIF(S48:S51,"〇")</f>
        <v>2</v>
      </c>
      <c r="T47" s="90">
        <f t="shared" ref="T47" si="110">COUNTIF(T48:T51,"〇")</f>
        <v>2</v>
      </c>
      <c r="U47" s="93">
        <f t="shared" ref="U47" si="111">COUNTIF(U48:U51,"〇")</f>
        <v>2</v>
      </c>
      <c r="V47" s="94">
        <f t="shared" ref="V47" si="112">COUNTIF(V48:V51,"〇")</f>
        <v>0</v>
      </c>
      <c r="W47" s="90">
        <f t="shared" ref="W47" si="113">COUNTIF(W48:W51,"〇")</f>
        <v>1</v>
      </c>
      <c r="X47" s="90">
        <f t="shared" ref="X47" si="114">COUNTIF(X48:X51,"〇")</f>
        <v>1</v>
      </c>
      <c r="Y47" s="90">
        <f t="shared" ref="Y47" si="115">COUNTIF(Y48:Y51,"〇")</f>
        <v>1</v>
      </c>
      <c r="Z47" s="231" t="s">
        <v>20</v>
      </c>
    </row>
    <row r="48" spans="6:34" x14ac:dyDescent="0.55000000000000004">
      <c r="F48" s="95"/>
      <c r="G48" s="95" t="s">
        <v>118</v>
      </c>
      <c r="H48" s="95"/>
      <c r="I48" s="95"/>
      <c r="J48" s="99"/>
      <c r="K48" s="95" t="s">
        <v>118</v>
      </c>
      <c r="L48" s="95"/>
      <c r="M48" s="96"/>
      <c r="N48" s="97"/>
      <c r="O48" s="95" t="s">
        <v>118</v>
      </c>
      <c r="P48" s="95"/>
      <c r="Q48" s="95" t="s">
        <v>118</v>
      </c>
      <c r="R48" s="97"/>
      <c r="S48" s="95"/>
      <c r="T48" s="95"/>
      <c r="U48" s="95" t="s">
        <v>118</v>
      </c>
      <c r="V48" s="99"/>
      <c r="W48" s="95"/>
      <c r="X48" s="95"/>
      <c r="Y48" s="95"/>
      <c r="Z48" s="231" t="s">
        <v>22</v>
      </c>
    </row>
    <row r="49" spans="2:26" x14ac:dyDescent="0.55000000000000004">
      <c r="F49" s="95" t="s">
        <v>118</v>
      </c>
      <c r="G49" s="95"/>
      <c r="H49" s="95" t="s">
        <v>118</v>
      </c>
      <c r="I49" s="95"/>
      <c r="J49" s="95" t="s">
        <v>118</v>
      </c>
      <c r="K49" s="95"/>
      <c r="L49" s="95" t="s">
        <v>118</v>
      </c>
      <c r="M49" s="96"/>
      <c r="N49" s="95" t="s">
        <v>118</v>
      </c>
      <c r="O49" s="95" t="s">
        <v>118</v>
      </c>
      <c r="P49" s="95" t="s">
        <v>118</v>
      </c>
      <c r="Q49" s="98"/>
      <c r="R49" s="97"/>
      <c r="S49" s="95" t="s">
        <v>118</v>
      </c>
      <c r="T49" s="95" t="s">
        <v>118</v>
      </c>
      <c r="U49" s="95" t="s">
        <v>118</v>
      </c>
      <c r="V49" s="99"/>
      <c r="W49" s="95" t="s">
        <v>118</v>
      </c>
      <c r="X49" s="95"/>
      <c r="Y49" s="95" t="s">
        <v>118</v>
      </c>
      <c r="Z49" s="231" t="s">
        <v>24</v>
      </c>
    </row>
    <row r="50" spans="2:26" x14ac:dyDescent="0.55000000000000004">
      <c r="F50" s="95"/>
      <c r="G50" s="95" t="s">
        <v>118</v>
      </c>
      <c r="H50" s="95" t="s">
        <v>118</v>
      </c>
      <c r="I50" s="95"/>
      <c r="J50" s="99"/>
      <c r="K50" s="95" t="s">
        <v>118</v>
      </c>
      <c r="L50" s="95" t="s">
        <v>118</v>
      </c>
      <c r="M50" s="96"/>
      <c r="N50" s="95" t="s">
        <v>118</v>
      </c>
      <c r="O50" s="95" t="s">
        <v>118</v>
      </c>
      <c r="P50" s="95"/>
      <c r="Q50" s="95" t="s">
        <v>118</v>
      </c>
      <c r="R50" s="97"/>
      <c r="S50" s="95"/>
      <c r="T50" s="95" t="s">
        <v>118</v>
      </c>
      <c r="U50" s="98"/>
      <c r="V50" s="99"/>
      <c r="W50" s="95"/>
      <c r="X50" s="95" t="s">
        <v>118</v>
      </c>
      <c r="Y50" s="95"/>
      <c r="Z50" s="231" t="s">
        <v>26</v>
      </c>
    </row>
    <row r="51" spans="2:26" ht="33" thickBot="1" x14ac:dyDescent="0.6">
      <c r="F51" s="95"/>
      <c r="G51" s="95" t="s">
        <v>118</v>
      </c>
      <c r="H51" s="95"/>
      <c r="I51" s="95" t="s">
        <v>118</v>
      </c>
      <c r="J51" s="99"/>
      <c r="K51" s="95"/>
      <c r="L51" s="95" t="s">
        <v>118</v>
      </c>
      <c r="M51" s="95" t="s">
        <v>118</v>
      </c>
      <c r="N51" s="95" t="s">
        <v>118</v>
      </c>
      <c r="O51" s="95"/>
      <c r="P51" s="95" t="s">
        <v>118</v>
      </c>
      <c r="Q51" s="98"/>
      <c r="R51" s="97"/>
      <c r="S51" s="95" t="s">
        <v>118</v>
      </c>
      <c r="T51" s="95"/>
      <c r="U51" s="98"/>
      <c r="V51" s="99"/>
      <c r="W51" s="95"/>
      <c r="X51" s="95"/>
      <c r="Y51" s="95"/>
      <c r="Z51" s="232" t="s">
        <v>28</v>
      </c>
    </row>
    <row r="52" spans="2:26" x14ac:dyDescent="0.55000000000000004">
      <c r="F52" s="105">
        <f>IF(選手!C61&lt;&gt;"",選手!C61,"")</f>
        <v>60</v>
      </c>
      <c r="G52" s="105">
        <f>IF(選手!C60&lt;&gt;"",選手!C60,"")</f>
        <v>59</v>
      </c>
      <c r="H52" s="105">
        <f>IF(選手!C59&lt;&gt;"",選手!C59,"")</f>
        <v>58</v>
      </c>
      <c r="I52" s="105">
        <f>IF(選手!C58&lt;&gt;"",選手!C58,"")</f>
        <v>57</v>
      </c>
      <c r="J52" s="109">
        <f>IF(選手!C57&lt;&gt;"",選手!C57,"")</f>
        <v>56</v>
      </c>
      <c r="K52" s="105">
        <f>IF(選手!C56&lt;&gt;"",選手!C56,"")</f>
        <v>55</v>
      </c>
      <c r="L52" s="105">
        <f>IF(選手!C55&lt;&gt;"",選手!C55,"")</f>
        <v>54</v>
      </c>
      <c r="M52" s="106">
        <f>IF(選手!C54&lt;&gt;"",選手!C54,"")</f>
        <v>53</v>
      </c>
      <c r="N52" s="107">
        <f>IF(選手!C53&lt;&gt;"",選手!C53,"")</f>
        <v>52</v>
      </c>
      <c r="O52" s="105">
        <f>IF(選手!C52&lt;&gt;"",選手!C52,"")</f>
        <v>51</v>
      </c>
      <c r="P52" s="105">
        <f>IF(選手!C51&lt;&gt;"",選手!C51,"")</f>
        <v>50</v>
      </c>
      <c r="Q52" s="108">
        <f>IF(選手!C50&lt;&gt;"",選手!C50,"")</f>
        <v>49</v>
      </c>
      <c r="R52" s="107">
        <f>IF(選手!C49&lt;&gt;"",選手!C49,"")</f>
        <v>48</v>
      </c>
      <c r="S52" s="105">
        <f>IF(選手!C48&lt;&gt;"",選手!C48,"")</f>
        <v>47</v>
      </c>
      <c r="T52" s="105">
        <f>IF(選手!C47&lt;&gt;"",選手!C47,"")</f>
        <v>46</v>
      </c>
      <c r="U52" s="108">
        <f>IF(選手!C46&lt;&gt;"",選手!C46,"")</f>
        <v>45</v>
      </c>
      <c r="V52" s="109">
        <f>IF(選手!C45&lt;&gt;"",選手!C45,"")</f>
        <v>44</v>
      </c>
      <c r="W52" s="105">
        <f>IF(選手!C44&lt;&gt;"",選手!C44,"")</f>
        <v>43</v>
      </c>
      <c r="X52" s="105">
        <f>IF(選手!C43&lt;&gt;"",選手!C43,"")</f>
        <v>42</v>
      </c>
      <c r="Y52" s="105">
        <f>IF(選手!C42&lt;&gt;"",選手!C42,"")</f>
        <v>41</v>
      </c>
      <c r="Z52" s="233" t="s">
        <v>18</v>
      </c>
    </row>
    <row r="53" spans="2:26" x14ac:dyDescent="0.55000000000000004">
      <c r="F53" s="110" t="str">
        <f>IF(選手!E61&lt;&gt;"",選手!E61,"")</f>
        <v>女</v>
      </c>
      <c r="G53" s="110" t="str">
        <f>IF(選手!E60&lt;&gt;"",選手!E60,"")</f>
        <v>女</v>
      </c>
      <c r="H53" s="110" t="str">
        <f>IF(選手!E59&lt;&gt;"",選手!E59,"")</f>
        <v>女</v>
      </c>
      <c r="I53" s="110" t="str">
        <f>IF(選手!E58&lt;&gt;"",選手!E58,"")</f>
        <v>女</v>
      </c>
      <c r="J53" s="114" t="str">
        <f>IF(選手!E57&lt;&gt;"",選手!E57,"")</f>
        <v>男</v>
      </c>
      <c r="K53" s="110" t="str">
        <f>IF(選手!E56&lt;&gt;"",選手!E56,"")</f>
        <v>男</v>
      </c>
      <c r="L53" s="110" t="str">
        <f>IF(選手!E55&lt;&gt;"",選手!E55,"")</f>
        <v>男</v>
      </c>
      <c r="M53" s="111" t="str">
        <f>IF(選手!E54&lt;&gt;"",選手!E54,"")</f>
        <v>男</v>
      </c>
      <c r="N53" s="112" t="str">
        <f>IF(選手!E53&lt;&gt;"",選手!E53,"")</f>
        <v>男</v>
      </c>
      <c r="O53" s="110" t="str">
        <f>IF(選手!E52&lt;&gt;"",選手!E52,"")</f>
        <v>男</v>
      </c>
      <c r="P53" s="110" t="str">
        <f>IF(選手!E51&lt;&gt;"",選手!E51,"")</f>
        <v>男</v>
      </c>
      <c r="Q53" s="111" t="str">
        <f>IF(選手!E50&lt;&gt;"",選手!E50,"")</f>
        <v>男</v>
      </c>
      <c r="R53" s="112" t="str">
        <f>IF(選手!E49&lt;&gt;"",選手!E49,"")</f>
        <v>女</v>
      </c>
      <c r="S53" s="110" t="str">
        <f>IF(選手!E48&lt;&gt;"",選手!E48,"")</f>
        <v>女</v>
      </c>
      <c r="T53" s="110" t="str">
        <f>IF(選手!E47&lt;&gt;"",選手!E47,"")</f>
        <v>女</v>
      </c>
      <c r="U53" s="113" t="str">
        <f>IF(選手!E46&lt;&gt;"",選手!E46,"")</f>
        <v>女</v>
      </c>
      <c r="V53" s="114" t="str">
        <f>IF(選手!E45&lt;&gt;"",選手!E45,"")</f>
        <v>男</v>
      </c>
      <c r="W53" s="110" t="str">
        <f>IF(選手!E44&lt;&gt;"",選手!E44,"")</f>
        <v>男</v>
      </c>
      <c r="X53" s="110" t="str">
        <f>IF(選手!E43&lt;&gt;"",選手!E43,"")</f>
        <v>男</v>
      </c>
      <c r="Y53" s="110" t="str">
        <f>IF(選手!E42&lt;&gt;"",選手!E42,"")</f>
        <v>男</v>
      </c>
      <c r="Z53" s="231" t="s">
        <v>35</v>
      </c>
    </row>
    <row r="54" spans="2:26" ht="155.5" customHeight="1" x14ac:dyDescent="0.55000000000000004">
      <c r="F54" s="116" t="str">
        <f>IF(選手!D61&lt;&gt;"",選手!D61,"")</f>
        <v>原 由美子</v>
      </c>
      <c r="G54" s="116" t="str">
        <f>IF(選手!D60&lt;&gt;"",選手!D60,"")</f>
        <v>瀬山 博子</v>
      </c>
      <c r="H54" s="116" t="str">
        <f>IF(選手!D59&lt;&gt;"",選手!D59,"")</f>
        <v>加藤 節子</v>
      </c>
      <c r="I54" s="116" t="str">
        <f>IF(選手!D58&lt;&gt;"",選手!D58,"")</f>
        <v>谷口 弥生</v>
      </c>
      <c r="J54" s="120" t="str">
        <f>IF(選手!D57&lt;&gt;"",選手!D57,"")</f>
        <v>長江 辰彦</v>
      </c>
      <c r="K54" s="116" t="str">
        <f>IF(選手!D56&lt;&gt;"",選手!D56,"")</f>
        <v>加藤 広史</v>
      </c>
      <c r="L54" s="116" t="str">
        <f>IF(選手!D55&lt;&gt;"",選手!D55,"")</f>
        <v>野村 清美</v>
      </c>
      <c r="M54" s="117" t="str">
        <f>IF(選手!D54&lt;&gt;"",選手!D54,"")</f>
        <v>矢島 悟朗</v>
      </c>
      <c r="N54" s="118" t="str">
        <f>IF(選手!D53&lt;&gt;"",選手!D53,"")</f>
        <v>木村 憲司</v>
      </c>
      <c r="O54" s="116" t="str">
        <f>IF(選手!D52&lt;&gt;"",選手!D52,"")</f>
        <v>小沢 浩寿</v>
      </c>
      <c r="P54" s="116" t="str">
        <f>IF(選手!D51&lt;&gt;"",選手!D51,"")</f>
        <v>平野 良則</v>
      </c>
      <c r="Q54" s="119" t="str">
        <f>IF(選手!D50&lt;&gt;"",選手!D50,"")</f>
        <v>門矢 誠</v>
      </c>
      <c r="R54" s="118" t="str">
        <f>IF(選手!D49&lt;&gt;"",選手!D49,"")</f>
        <v>白井 千鶴子</v>
      </c>
      <c r="S54" s="116" t="str">
        <f>IF(選手!D48&lt;&gt;"",選手!D48,"")</f>
        <v>荒川 花子</v>
      </c>
      <c r="T54" s="116" t="str">
        <f>IF(選手!D47&lt;&gt;"",選手!D47,"")</f>
        <v>中神 佐知子</v>
      </c>
      <c r="U54" s="119" t="str">
        <f>IF(選手!D46&lt;&gt;"",選手!D46,"")</f>
        <v>村瀬 沙織</v>
      </c>
      <c r="V54" s="120" t="str">
        <f>IF(選手!D45&lt;&gt;"",選手!D45,"")</f>
        <v>加藤 忠人</v>
      </c>
      <c r="W54" s="116" t="str">
        <f>IF(選手!D44&lt;&gt;"",選手!D44,"")</f>
        <v>大槻 成実</v>
      </c>
      <c r="X54" s="116" t="str">
        <f>IF(選手!D43&lt;&gt;"",選手!D43,"")</f>
        <v>杉原 伸哉</v>
      </c>
      <c r="Y54" s="116" t="str">
        <f>IF(選手!D42&lt;&gt;"",選手!D42,"")</f>
        <v>丹羽 泰生</v>
      </c>
      <c r="Z54" s="115" t="s">
        <v>58</v>
      </c>
    </row>
    <row r="56" spans="2:26" x14ac:dyDescent="0.55000000000000004">
      <c r="B56" s="181" t="str">
        <f>選手!B62</f>
        <v>ダミーA</v>
      </c>
      <c r="C56" s="179"/>
      <c r="D56" s="179"/>
      <c r="E56" s="179"/>
    </row>
    <row r="57" spans="2:26" x14ac:dyDescent="0.55000000000000004">
      <c r="B57" s="175">
        <f>SUM(B59:E59)</f>
        <v>0</v>
      </c>
      <c r="C57" s="175"/>
      <c r="D57" s="175"/>
      <c r="E57" s="178"/>
    </row>
    <row r="58" spans="2:26" x14ac:dyDescent="0.55000000000000004">
      <c r="B58" s="80">
        <f>B59+0.1+(IF(B69="〇",1,0)*0.01)+(IF(B68="〇",1,0)*0.001)+(IF(B67="〇",1,0)*0.0001)+(IF(B66="〇",1,0)*0.00001)+(IF(B64="〇",1,0)*0.000001)+(IF(B63="〇",1,0)*0.0000001)+(IF(B62="〇",1,0)*0.00000001)+(IF(B61="〇",1,0)*0.000000001)</f>
        <v>0.1</v>
      </c>
      <c r="C58" s="80">
        <f t="shared" ref="B58:E58" si="116">C59+0.1+(IF(C69="〇",1,0)*0.01)+(IF(C68="〇",1,0)*0.001)+(IF(C67="〇",1,0)*0.0001)+(IF(C66="〇",1,0)*0.00001)+(IF(C64="〇",1,0)*0.000001)+(IF(C63="〇",1,0)*0.0000001)+(IF(C62="〇",1,0)*0.00000001)+(IF(C61="〇",1,0)*0.000000001)</f>
        <v>0.1</v>
      </c>
      <c r="D58" s="80">
        <f t="shared" si="116"/>
        <v>0.1</v>
      </c>
      <c r="E58" s="81">
        <f t="shared" si="116"/>
        <v>0.1</v>
      </c>
    </row>
    <row r="59" spans="2:26" x14ac:dyDescent="0.55000000000000004">
      <c r="B59" s="85">
        <f>B60+B65</f>
        <v>0</v>
      </c>
      <c r="C59" s="85">
        <f t="shared" ref="C59" si="117">C60+C65</f>
        <v>0</v>
      </c>
      <c r="D59" s="85">
        <f t="shared" ref="D59" si="118">D60+D65</f>
        <v>0</v>
      </c>
      <c r="E59" s="86">
        <f t="shared" ref="E59" si="119">E60+E65</f>
        <v>0</v>
      </c>
    </row>
    <row r="60" spans="2:26" x14ac:dyDescent="0.55000000000000004">
      <c r="B60" s="90">
        <f>COUNTIF(B61:B64,"〇")</f>
        <v>0</v>
      </c>
      <c r="C60" s="90">
        <f t="shared" ref="C60" si="120">COUNTIF(C61:C64,"〇")</f>
        <v>0</v>
      </c>
      <c r="D60" s="90">
        <f t="shared" ref="D60" si="121">COUNTIF(D61:D64,"〇")</f>
        <v>0</v>
      </c>
      <c r="E60" s="91">
        <f t="shared" ref="E60" si="122">COUNTIF(E61:E64,"〇")</f>
        <v>0</v>
      </c>
    </row>
    <row r="61" spans="2:26" x14ac:dyDescent="0.55000000000000004">
      <c r="B61" s="95"/>
      <c r="C61" s="95"/>
      <c r="D61" s="95"/>
      <c r="E61" s="96"/>
    </row>
    <row r="62" spans="2:26" x14ac:dyDescent="0.55000000000000004">
      <c r="B62" s="95"/>
      <c r="C62" s="95"/>
      <c r="D62" s="95"/>
      <c r="E62" s="96"/>
    </row>
    <row r="63" spans="2:26" x14ac:dyDescent="0.55000000000000004">
      <c r="B63" s="95"/>
      <c r="C63" s="95"/>
      <c r="D63" s="95"/>
      <c r="E63" s="96"/>
    </row>
    <row r="64" spans="2:26" x14ac:dyDescent="0.55000000000000004">
      <c r="B64" s="95"/>
      <c r="C64" s="95"/>
      <c r="D64" s="95"/>
      <c r="E64" s="96"/>
    </row>
    <row r="65" spans="2:5" x14ac:dyDescent="0.55000000000000004">
      <c r="B65" s="90">
        <f>COUNTIF(B66:B69,"〇")</f>
        <v>0</v>
      </c>
      <c r="C65" s="90">
        <f t="shared" ref="C65" si="123">COUNTIF(C66:C69,"〇")</f>
        <v>0</v>
      </c>
      <c r="D65" s="90">
        <f t="shared" ref="D65" si="124">COUNTIF(D66:D69,"〇")</f>
        <v>0</v>
      </c>
      <c r="E65" s="91">
        <f t="shared" ref="E65" si="125">COUNTIF(E66:E69,"〇")</f>
        <v>0</v>
      </c>
    </row>
    <row r="66" spans="2:5" x14ac:dyDescent="0.55000000000000004">
      <c r="B66" s="95"/>
      <c r="C66" s="95"/>
      <c r="D66" s="95"/>
      <c r="E66" s="96"/>
    </row>
    <row r="67" spans="2:5" x14ac:dyDescent="0.55000000000000004">
      <c r="B67" s="95"/>
      <c r="C67" s="95"/>
      <c r="D67" s="95"/>
      <c r="E67" s="96"/>
    </row>
    <row r="68" spans="2:5" x14ac:dyDescent="0.55000000000000004">
      <c r="B68" s="95"/>
      <c r="C68" s="95"/>
      <c r="D68" s="95"/>
      <c r="E68" s="96"/>
    </row>
    <row r="69" spans="2:5" ht="33" thickBot="1" x14ac:dyDescent="0.6">
      <c r="B69" s="100"/>
      <c r="C69" s="100"/>
      <c r="D69" s="100"/>
      <c r="E69" s="101"/>
    </row>
    <row r="70" spans="2:5" x14ac:dyDescent="0.55000000000000004">
      <c r="B70" s="105">
        <f>IF(選手!C65&lt;&gt;"",選手!C65,"")</f>
        <v>64</v>
      </c>
      <c r="C70" s="105">
        <f>IF(選手!C64&lt;&gt;"",選手!C64,"")</f>
        <v>63</v>
      </c>
      <c r="D70" s="105">
        <f>IF(選手!C63&lt;&gt;"",選手!C63,"")</f>
        <v>62</v>
      </c>
      <c r="E70" s="106">
        <f>IF(選手!C62&lt;&gt;"",選手!C62,"")</f>
        <v>61</v>
      </c>
    </row>
    <row r="71" spans="2:5" x14ac:dyDescent="0.55000000000000004">
      <c r="B71" s="110" t="str">
        <f>IF(選手!E65&lt;&gt;"",選手!E65,"")</f>
        <v/>
      </c>
      <c r="C71" s="110" t="str">
        <f>IF(選手!E64&lt;&gt;"",選手!E64,"")</f>
        <v/>
      </c>
      <c r="D71" s="110" t="str">
        <f>IF(選手!E63&lt;&gt;"",選手!E63,"")</f>
        <v/>
      </c>
      <c r="E71" s="111" t="str">
        <f>IF(選手!E62&lt;&gt;"",選手!E62,"")</f>
        <v/>
      </c>
    </row>
    <row r="72" spans="2:5" x14ac:dyDescent="0.55000000000000004">
      <c r="B72" s="116" t="str">
        <f>IF(選手!D65&lt;&gt;"",選手!D65,"")</f>
        <v/>
      </c>
      <c r="C72" s="116" t="str">
        <f>IF(選手!D64&lt;&gt;"",選手!D64,"")</f>
        <v/>
      </c>
      <c r="D72" s="116" t="str">
        <f>IF(選手!D63&lt;&gt;"",選手!D63,"")</f>
        <v/>
      </c>
      <c r="E72" s="117" t="str">
        <f>IF(選手!D62&lt;&gt;"",選手!D62,"")</f>
        <v/>
      </c>
    </row>
  </sheetData>
  <mergeCells count="32">
    <mergeCell ref="F3:I3"/>
    <mergeCell ref="J20:M20"/>
    <mergeCell ref="R20:U20"/>
    <mergeCell ref="V20:Y20"/>
    <mergeCell ref="B2:E2"/>
    <mergeCell ref="J21:M21"/>
    <mergeCell ref="N21:Q21"/>
    <mergeCell ref="R21:U21"/>
    <mergeCell ref="V21:Y21"/>
    <mergeCell ref="B3:E3"/>
    <mergeCell ref="F2:I2"/>
    <mergeCell ref="J2:M2"/>
    <mergeCell ref="N2:Q2"/>
    <mergeCell ref="R2:U2"/>
    <mergeCell ref="V2:Y2"/>
    <mergeCell ref="J39:M39"/>
    <mergeCell ref="N39:Q39"/>
    <mergeCell ref="R39:U39"/>
    <mergeCell ref="J38:M38"/>
    <mergeCell ref="N38:Q38"/>
    <mergeCell ref="R38:U38"/>
    <mergeCell ref="V39:Y39"/>
    <mergeCell ref="J3:M3"/>
    <mergeCell ref="N3:Q3"/>
    <mergeCell ref="B57:E57"/>
    <mergeCell ref="F39:I39"/>
    <mergeCell ref="V38:Y38"/>
    <mergeCell ref="B56:E56"/>
    <mergeCell ref="F38:I38"/>
    <mergeCell ref="N20:Q20"/>
    <mergeCell ref="R3:U3"/>
    <mergeCell ref="V3:Y3"/>
  </mergeCells>
  <phoneticPr fontId="1"/>
  <conditionalFormatting sqref="B71:E71 F53:Y53 B17:Z17 J35:Y35">
    <cfRule type="cellIs" dxfId="5" priority="1" operator="equal">
      <formula>"男"</formula>
    </cfRule>
    <cfRule type="cellIs" dxfId="4" priority="2" operator="equal">
      <formula>"女"</formula>
    </cfRule>
  </conditionalFormatting>
  <dataValidations count="1">
    <dataValidation type="list" allowBlank="1" showInputMessage="1" showErrorMessage="1" sqref="B66:E69 J25:Y28 B61:E64 F43:Y46 B7:Z10 J30:Y33 B12:Z15 F48:Y51" xr:uid="{12E7C724-A26C-4691-84C6-B036D6355C8B}">
      <formula1>"〇,×"</formula1>
    </dataValidation>
  </dataValidations>
  <pageMargins left="0.25" right="0.25" top="0.75" bottom="0.75" header="0.3" footer="0.3"/>
  <pageSetup paperSize="9" scale="3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15F19-7682-449F-87E4-A8164DA6ECC2}">
  <dimension ref="B2:AC19"/>
  <sheetViews>
    <sheetView tabSelected="1" workbookViewId="0">
      <selection activeCell="U19" sqref="U19"/>
    </sheetView>
  </sheetViews>
  <sheetFormatPr defaultRowHeight="28.5" x14ac:dyDescent="0.55000000000000004"/>
  <cols>
    <col min="1" max="1" width="3.58203125" style="122" customWidth="1"/>
    <col min="2" max="2" width="5.33203125" style="122" hidden="1" customWidth="1"/>
    <col min="3" max="3" width="7.6640625" style="122" bestFit="1" customWidth="1"/>
    <col min="4" max="4" width="16.08203125" style="122" bestFit="1" customWidth="1"/>
    <col min="5" max="5" width="10.6640625" style="122" bestFit="1" customWidth="1"/>
    <col min="6" max="6" width="7.6640625" style="122" bestFit="1" customWidth="1"/>
    <col min="7" max="8" width="6.6640625" style="122" hidden="1" customWidth="1"/>
    <col min="9" max="9" width="5.58203125" style="122" customWidth="1"/>
    <col min="10" max="10" width="7.6640625" style="122" bestFit="1" customWidth="1"/>
    <col min="11" max="11" width="16.08203125" style="122" bestFit="1" customWidth="1"/>
    <col min="12" max="12" width="10.6640625" style="122" bestFit="1" customWidth="1"/>
    <col min="13" max="13" width="14.83203125" style="122" hidden="1" customWidth="1"/>
    <col min="14" max="14" width="5.58203125" style="122" customWidth="1"/>
    <col min="15" max="15" width="7.6640625" style="122" bestFit="1" customWidth="1"/>
    <col min="16" max="16" width="13.9140625" style="122" bestFit="1" customWidth="1"/>
    <col min="17" max="17" width="10.6640625" style="122" bestFit="1" customWidth="1"/>
    <col min="18" max="18" width="14.83203125" style="122" hidden="1" customWidth="1"/>
    <col min="19" max="19" width="5.58203125" style="122" customWidth="1"/>
    <col min="20" max="20" width="16.08203125" style="122" bestFit="1" customWidth="1"/>
    <col min="21" max="21" width="13.9140625" style="122" bestFit="1" customWidth="1"/>
    <col min="22" max="23" width="13.9140625" style="122" hidden="1" customWidth="1"/>
    <col min="24" max="24" width="10.6640625" style="122" bestFit="1" customWidth="1"/>
    <col min="25" max="28" width="7.6640625" style="122" bestFit="1" customWidth="1"/>
    <col min="29" max="29" width="14.83203125" style="122" hidden="1" customWidth="1"/>
    <col min="30" max="16384" width="8.6640625" style="122"/>
  </cols>
  <sheetData>
    <row r="2" spans="2:29" x14ac:dyDescent="0.55000000000000004">
      <c r="C2" s="190" t="s">
        <v>51</v>
      </c>
      <c r="D2" s="191"/>
      <c r="E2" s="192"/>
      <c r="J2" s="184" t="s">
        <v>52</v>
      </c>
      <c r="K2" s="185"/>
      <c r="L2" s="186"/>
      <c r="M2" s="123"/>
      <c r="O2" s="187" t="s">
        <v>54</v>
      </c>
      <c r="P2" s="188"/>
      <c r="Q2" s="189"/>
      <c r="R2" s="124"/>
      <c r="T2" s="193" t="s">
        <v>14</v>
      </c>
      <c r="U2" s="193"/>
      <c r="V2" s="193"/>
      <c r="W2" s="193"/>
      <c r="X2" s="193"/>
      <c r="Y2" s="193"/>
      <c r="Z2" s="193"/>
      <c r="AA2" s="193"/>
      <c r="AB2" s="193"/>
      <c r="AC2" s="194"/>
    </row>
    <row r="3" spans="2:29" x14ac:dyDescent="0.55000000000000004">
      <c r="C3" s="125" t="s">
        <v>11</v>
      </c>
      <c r="D3" s="126" t="s">
        <v>13</v>
      </c>
      <c r="E3" s="127" t="s">
        <v>12</v>
      </c>
      <c r="F3" s="128" t="s">
        <v>59</v>
      </c>
      <c r="G3" s="128" t="s">
        <v>56</v>
      </c>
      <c r="H3" s="128" t="s">
        <v>57</v>
      </c>
      <c r="J3" s="129" t="s">
        <v>11</v>
      </c>
      <c r="K3" s="130" t="s">
        <v>5</v>
      </c>
      <c r="L3" s="131" t="s">
        <v>6</v>
      </c>
      <c r="M3" s="123" t="s">
        <v>55</v>
      </c>
      <c r="O3" s="132" t="s">
        <v>11</v>
      </c>
      <c r="P3" s="133" t="s">
        <v>5</v>
      </c>
      <c r="Q3" s="134" t="s">
        <v>6</v>
      </c>
      <c r="R3" s="124" t="s">
        <v>55</v>
      </c>
      <c r="T3" s="135" t="s">
        <v>5</v>
      </c>
      <c r="U3" s="135" t="s">
        <v>53</v>
      </c>
      <c r="V3" s="135" t="s">
        <v>16</v>
      </c>
      <c r="W3" s="135" t="s">
        <v>17</v>
      </c>
      <c r="X3" s="135" t="s">
        <v>6</v>
      </c>
      <c r="Y3" s="135" t="s">
        <v>7</v>
      </c>
      <c r="Z3" s="135" t="s">
        <v>8</v>
      </c>
      <c r="AA3" s="135" t="s">
        <v>9</v>
      </c>
      <c r="AB3" s="135" t="s">
        <v>10</v>
      </c>
      <c r="AC3" s="136" t="s">
        <v>15</v>
      </c>
    </row>
    <row r="4" spans="2:29" x14ac:dyDescent="0.95">
      <c r="B4" s="122">
        <f>SMALL(V4:V19, 1)</f>
        <v>1</v>
      </c>
      <c r="C4" s="137">
        <f>SMALL(W4:W19, 1)</f>
        <v>1</v>
      </c>
      <c r="D4" s="138" t="str">
        <f>INDEX(T:T,MATCH(B4,V:V,0))</f>
        <v>春日井A</v>
      </c>
      <c r="E4" s="137">
        <f t="shared" ref="E4:E19" si="0">IF(D4="","",INDEX(X:X,MATCH(D4,T:T,0)))</f>
        <v>21</v>
      </c>
      <c r="F4" s="137" t="str">
        <f t="shared" ref="F4:F19" si="1">IF(D4="","",INDEX(U:U,MATCH(D4,T:T,0)))</f>
        <v>男</v>
      </c>
      <c r="G4" s="137">
        <f>IF($F4="男",ROW(),"")</f>
        <v>4</v>
      </c>
      <c r="H4" s="137" t="str">
        <f>IF($F4="女",ROW(),"")</f>
        <v/>
      </c>
      <c r="J4" s="137">
        <f>IF(K4="","",_xlfn.RANK.EQ(M4,M4:M19))</f>
        <v>1</v>
      </c>
      <c r="K4" s="139" t="str">
        <f>IF(COUNT(G:G)&lt;ROW(A1),"",INDEX(D:D,SMALL(G:G,ROW(A1))))</f>
        <v>春日井A</v>
      </c>
      <c r="L4" s="137">
        <f>IF(K4="","",INDEX(E:E,MATCH(K4,D:D,0)))</f>
        <v>21</v>
      </c>
      <c r="M4" s="137">
        <f>IF(K4="","",INDEX(AC:AC,MATCH(K4,T:T,0)))</f>
        <v>21.563699999999997</v>
      </c>
      <c r="O4" s="137">
        <f>IF(P4="","",_xlfn.RANK.EQ(R4,R4:R19))</f>
        <v>1</v>
      </c>
      <c r="P4" s="139" t="str">
        <f t="shared" ref="P4:P19" si="2">IF(COUNT(H:H)&lt;ROW(A1),"",INDEX(D:D,SMALL(H:H,ROW(A1))))</f>
        <v>日進B</v>
      </c>
      <c r="Q4" s="137">
        <f t="shared" ref="Q4:Q19" si="3">IF(P4="","",INDEX(E:E,MATCH(P4,D:D,0)))</f>
        <v>17</v>
      </c>
      <c r="R4" s="137">
        <f t="shared" ref="R4:R19" si="4">IF(P4="","",INDEX(AC:AC,MATCH(P4,T:T,0)))</f>
        <v>17.443599999999996</v>
      </c>
      <c r="T4" s="140" t="str">
        <f>IF(選手!B2="","",選手!B2)</f>
        <v>春日井A</v>
      </c>
      <c r="U4" s="140" t="str">
        <f>IF(COUNTIF(選手!E2:E5,"男")&gt;0,"男","女")</f>
        <v>男</v>
      </c>
      <c r="V4" s="137">
        <f>W4</f>
        <v>1</v>
      </c>
      <c r="W4" s="137">
        <f>_xlfn.RANK.EQ(AC4,AC4:AC19)</f>
        <v>1</v>
      </c>
      <c r="X4" s="137">
        <f>SUM(Y4:AB4)</f>
        <v>21</v>
      </c>
      <c r="Y4" s="137">
        <f>記録!Y5</f>
        <v>5</v>
      </c>
      <c r="Z4" s="137">
        <f>記録!X5</f>
        <v>6</v>
      </c>
      <c r="AA4" s="137">
        <f>記録!W5</f>
        <v>3</v>
      </c>
      <c r="AB4" s="137">
        <f>記録!V5</f>
        <v>7</v>
      </c>
      <c r="AC4" s="137">
        <f t="shared" ref="AC4:AC19" si="5">X4+Y4*0.1+Z4*0.01+AA4*0.001+AB4*0.0001</f>
        <v>21.563699999999997</v>
      </c>
    </row>
    <row r="5" spans="2:29" x14ac:dyDescent="0.95">
      <c r="B5" s="122">
        <f>SMALL(V4:V19, 2)</f>
        <v>2</v>
      </c>
      <c r="C5" s="137">
        <f>SMALL(W4:W19, 2)</f>
        <v>2</v>
      </c>
      <c r="D5" s="138" t="str">
        <f>INDEX(T:T,MATCH(B5,V:V,0))</f>
        <v>長久手A</v>
      </c>
      <c r="E5" s="137">
        <f t="shared" si="0"/>
        <v>20</v>
      </c>
      <c r="F5" s="137" t="str">
        <f t="shared" si="1"/>
        <v>男</v>
      </c>
      <c r="G5" s="137">
        <f t="shared" ref="G5:G19" si="6">IF($F5="男",ROW(),"")</f>
        <v>5</v>
      </c>
      <c r="H5" s="137" t="str">
        <f t="shared" ref="H5:H19" si="7">IF($F5="女",ROW(),"")</f>
        <v/>
      </c>
      <c r="J5" s="137">
        <f>IF(K5="","",_xlfn.RANK.EQ(M5,M4:M19))</f>
        <v>2</v>
      </c>
      <c r="K5" s="139" t="str">
        <f t="shared" ref="K5:K19" si="8">IF(COUNT(G:G)&lt;ROW(A2),"",INDEX(D:D,SMALL(G:G,ROW(A2))))</f>
        <v>長久手A</v>
      </c>
      <c r="L5" s="137">
        <f t="shared" ref="L5:L18" si="9">IF(K5="","",INDEX(E:E,MATCH(K5,D:D,0)))</f>
        <v>20</v>
      </c>
      <c r="M5" s="137">
        <f t="shared" ref="M5:M19" si="10">IF(K5="","",INDEX(AC:AC,MATCH(K5,T:T,0)))</f>
        <v>20.5474</v>
      </c>
      <c r="O5" s="137">
        <f>IF(P5="","",_xlfn.RANK.EQ(R5,R4:R19))</f>
        <v>2</v>
      </c>
      <c r="P5" s="139" t="str">
        <f t="shared" si="2"/>
        <v>長久手B</v>
      </c>
      <c r="Q5" s="137">
        <f t="shared" si="3"/>
        <v>16</v>
      </c>
      <c r="R5" s="137">
        <f t="shared" si="4"/>
        <v>16.342699999999997</v>
      </c>
      <c r="T5" s="140" t="str">
        <f>IF(選手!B6="","",選手!B6)</f>
        <v>春日井B</v>
      </c>
      <c r="U5" s="140" t="str">
        <f>IF(COUNTIF(選手!E6:E9,"男")&gt;0,"男","女")</f>
        <v>女</v>
      </c>
      <c r="V5" s="137">
        <f>W5+COUNTIF(W4:W5,W5)-1</f>
        <v>8</v>
      </c>
      <c r="W5" s="137">
        <f>_xlfn.RANK.EQ(AC5,AC4:AC19)</f>
        <v>8</v>
      </c>
      <c r="X5" s="137">
        <f t="shared" ref="X5:X19" si="11">SUM(Y5:AB5)</f>
        <v>15</v>
      </c>
      <c r="Y5" s="137">
        <f>記録!U5</f>
        <v>4</v>
      </c>
      <c r="Z5" s="137">
        <f>記録!T5</f>
        <v>2</v>
      </c>
      <c r="AA5" s="137">
        <f>記録!S5</f>
        <v>5</v>
      </c>
      <c r="AB5" s="137">
        <f>記録!R5</f>
        <v>4</v>
      </c>
      <c r="AC5" s="137">
        <f t="shared" si="5"/>
        <v>15.425400000000002</v>
      </c>
    </row>
    <row r="6" spans="2:29" x14ac:dyDescent="0.95">
      <c r="B6" s="122">
        <f>SMALL(V4:V19, 3)</f>
        <v>3</v>
      </c>
      <c r="C6" s="137">
        <f>SMALL(W4:W19, 3)</f>
        <v>3</v>
      </c>
      <c r="D6" s="138" t="str">
        <f t="shared" ref="D6:D19" si="12">INDEX(T:T,MATCH(B6,V:V,0))</f>
        <v>愛知A</v>
      </c>
      <c r="E6" s="137">
        <f t="shared" si="0"/>
        <v>19</v>
      </c>
      <c r="F6" s="137" t="str">
        <f t="shared" si="1"/>
        <v>男</v>
      </c>
      <c r="G6" s="137">
        <f t="shared" si="6"/>
        <v>6</v>
      </c>
      <c r="H6" s="137" t="str">
        <f t="shared" si="7"/>
        <v/>
      </c>
      <c r="J6" s="137">
        <f>IF(K6="","",_xlfn.RANK.EQ(M6,M4:M19))</f>
        <v>3</v>
      </c>
      <c r="K6" s="139" t="str">
        <f t="shared" si="8"/>
        <v>愛知A</v>
      </c>
      <c r="L6" s="137">
        <f t="shared" si="9"/>
        <v>19</v>
      </c>
      <c r="M6" s="137">
        <f t="shared" si="10"/>
        <v>19.445599999999995</v>
      </c>
      <c r="O6" s="137">
        <f>IF(P6="","",_xlfn.RANK.EQ(R6,R4:R19))</f>
        <v>3</v>
      </c>
      <c r="P6" s="139" t="str">
        <f t="shared" si="2"/>
        <v>春日井B</v>
      </c>
      <c r="Q6" s="137">
        <f t="shared" si="3"/>
        <v>15</v>
      </c>
      <c r="R6" s="137">
        <f t="shared" si="4"/>
        <v>15.425400000000002</v>
      </c>
      <c r="T6" s="140" t="str">
        <f>IF(選手!B10="","",選手!B10)</f>
        <v>豊明A</v>
      </c>
      <c r="U6" s="140" t="str">
        <f>IF(COUNTIF(選手!E10:E13,"男")&gt;0,"男","女")</f>
        <v>男</v>
      </c>
      <c r="V6" s="137">
        <f>W6+COUNTIF(W4:W6,W6)-1</f>
        <v>13</v>
      </c>
      <c r="W6" s="137">
        <f>_xlfn.RANK.EQ(AC6,AC4:AC19)</f>
        <v>13</v>
      </c>
      <c r="X6" s="137">
        <f t="shared" si="11"/>
        <v>12</v>
      </c>
      <c r="Y6" s="137">
        <f>記録!Q5</f>
        <v>3</v>
      </c>
      <c r="Z6" s="137">
        <f>記録!P5</f>
        <v>3</v>
      </c>
      <c r="AA6" s="137">
        <f>記録!O5</f>
        <v>3</v>
      </c>
      <c r="AB6" s="137">
        <f>記録!N5</f>
        <v>3</v>
      </c>
      <c r="AC6" s="137">
        <f t="shared" si="5"/>
        <v>12.333299999999999</v>
      </c>
    </row>
    <row r="7" spans="2:29" x14ac:dyDescent="0.95">
      <c r="B7" s="122">
        <f>SMALL(V4:V19, 4)</f>
        <v>4</v>
      </c>
      <c r="C7" s="137">
        <f>SMALL(W4:W19, 4)</f>
        <v>4</v>
      </c>
      <c r="D7" s="138" t="str">
        <f t="shared" si="12"/>
        <v>尾張旭A</v>
      </c>
      <c r="E7" s="137">
        <f t="shared" si="0"/>
        <v>17</v>
      </c>
      <c r="F7" s="137" t="str">
        <f t="shared" si="1"/>
        <v>男</v>
      </c>
      <c r="G7" s="137">
        <f t="shared" si="6"/>
        <v>7</v>
      </c>
      <c r="H7" s="137" t="str">
        <f t="shared" si="7"/>
        <v/>
      </c>
      <c r="J7" s="137">
        <f>IF(K7="","",_xlfn.RANK.EQ(M7,M4:M19))</f>
        <v>4</v>
      </c>
      <c r="K7" s="139" t="str">
        <f t="shared" si="8"/>
        <v>尾張旭A</v>
      </c>
      <c r="L7" s="137">
        <f t="shared" si="9"/>
        <v>17</v>
      </c>
      <c r="M7" s="137">
        <f t="shared" si="10"/>
        <v>17.5444</v>
      </c>
      <c r="O7" s="137">
        <f>IF(P7="","",_xlfn.RANK.EQ(R7,R4:R19))</f>
        <v>4</v>
      </c>
      <c r="P7" s="139" t="str">
        <f t="shared" si="2"/>
        <v>瀬戸B</v>
      </c>
      <c r="Q7" s="137">
        <f t="shared" si="3"/>
        <v>15</v>
      </c>
      <c r="R7" s="137">
        <f t="shared" si="4"/>
        <v>15.3453</v>
      </c>
      <c r="T7" s="140" t="str">
        <f>IF(選手!B14="","",選手!B14)</f>
        <v>豊明B</v>
      </c>
      <c r="U7" s="140" t="str">
        <f>IF(COUNTIF(選手!E14:E17,"男")&gt;0,"男","女")</f>
        <v>女</v>
      </c>
      <c r="V7" s="137">
        <f>W7+COUNTIF(W4:W7,W7)-1</f>
        <v>10</v>
      </c>
      <c r="W7" s="137">
        <f>_xlfn.RANK.EQ(AC7,AC4:AC19)</f>
        <v>10</v>
      </c>
      <c r="X7" s="137">
        <f t="shared" si="11"/>
        <v>14</v>
      </c>
      <c r="Y7" s="137">
        <f>記録!M5</f>
        <v>4</v>
      </c>
      <c r="Z7" s="137">
        <f>記録!L5</f>
        <v>3</v>
      </c>
      <c r="AA7" s="137">
        <f>記録!K5</f>
        <v>5</v>
      </c>
      <c r="AB7" s="137">
        <f>記録!J5</f>
        <v>2</v>
      </c>
      <c r="AC7" s="137">
        <f t="shared" si="5"/>
        <v>14.4352</v>
      </c>
    </row>
    <row r="8" spans="2:29" x14ac:dyDescent="0.95">
      <c r="B8" s="122">
        <f>SMALL(V4:V19, 5)</f>
        <v>5</v>
      </c>
      <c r="C8" s="137">
        <f>SMALL(W4:W19, 5)</f>
        <v>5</v>
      </c>
      <c r="D8" s="138" t="str">
        <f t="shared" si="12"/>
        <v>日進B</v>
      </c>
      <c r="E8" s="137">
        <f t="shared" si="0"/>
        <v>17</v>
      </c>
      <c r="F8" s="137" t="str">
        <f t="shared" si="1"/>
        <v>女</v>
      </c>
      <c r="G8" s="137" t="str">
        <f t="shared" si="6"/>
        <v/>
      </c>
      <c r="H8" s="137">
        <f t="shared" si="7"/>
        <v>8</v>
      </c>
      <c r="J8" s="137">
        <f>IF(K8="","",_xlfn.RANK.EQ(M8,M4:M19))</f>
        <v>5</v>
      </c>
      <c r="K8" s="139" t="str">
        <f t="shared" si="8"/>
        <v>日進A</v>
      </c>
      <c r="L8" s="137">
        <f t="shared" si="9"/>
        <v>15</v>
      </c>
      <c r="M8" s="137">
        <f t="shared" si="10"/>
        <v>15.4335</v>
      </c>
      <c r="O8" s="137">
        <f>IF(P8="","",_xlfn.RANK.EQ(R8,R4:R19))</f>
        <v>5</v>
      </c>
      <c r="P8" s="139" t="str">
        <f t="shared" si="2"/>
        <v>豊明B</v>
      </c>
      <c r="Q8" s="137">
        <f t="shared" si="3"/>
        <v>14</v>
      </c>
      <c r="R8" s="137">
        <f t="shared" si="4"/>
        <v>14.4352</v>
      </c>
      <c r="T8" s="140" t="str">
        <f>IF(選手!B1="","",選手!B18)</f>
        <v>日進A</v>
      </c>
      <c r="U8" s="140" t="str">
        <f>IF(COUNTIF(選手!E18:E21,"男")&gt;0,"男","女")</f>
        <v>男</v>
      </c>
      <c r="V8" s="137">
        <f>W8+COUNTIF(W4:W8,W8)-1</f>
        <v>7</v>
      </c>
      <c r="W8" s="137">
        <f>_xlfn.RANK.EQ(AC8,AC4:AC19)</f>
        <v>7</v>
      </c>
      <c r="X8" s="137">
        <f t="shared" si="11"/>
        <v>15</v>
      </c>
      <c r="Y8" s="137">
        <f>記録!I5</f>
        <v>4</v>
      </c>
      <c r="Z8" s="137">
        <f>記録!H5</f>
        <v>3</v>
      </c>
      <c r="AA8" s="137">
        <f>記録!G5</f>
        <v>3</v>
      </c>
      <c r="AB8" s="137">
        <f>記録!F5</f>
        <v>5</v>
      </c>
      <c r="AC8" s="137">
        <f t="shared" si="5"/>
        <v>15.4335</v>
      </c>
    </row>
    <row r="9" spans="2:29" x14ac:dyDescent="0.95">
      <c r="B9" s="122">
        <f>SMALL(V4:V19, 6)</f>
        <v>6</v>
      </c>
      <c r="C9" s="137">
        <f>SMALL(W4:W19, 6)</f>
        <v>6</v>
      </c>
      <c r="D9" s="138" t="str">
        <f t="shared" si="12"/>
        <v>長久手B</v>
      </c>
      <c r="E9" s="137">
        <f t="shared" si="0"/>
        <v>16</v>
      </c>
      <c r="F9" s="137" t="str">
        <f t="shared" si="1"/>
        <v>女</v>
      </c>
      <c r="G9" s="137" t="str">
        <f t="shared" si="6"/>
        <v/>
      </c>
      <c r="H9" s="137">
        <f t="shared" si="7"/>
        <v>9</v>
      </c>
      <c r="J9" s="137">
        <f>IF(K9="","",_xlfn.RANK.EQ(M9,M4:M19))</f>
        <v>6</v>
      </c>
      <c r="K9" s="139" t="str">
        <f t="shared" si="8"/>
        <v>瀬戸A</v>
      </c>
      <c r="L9" s="137">
        <f t="shared" si="9"/>
        <v>14</v>
      </c>
      <c r="M9" s="137">
        <f t="shared" si="10"/>
        <v>14.263299999999999</v>
      </c>
      <c r="O9" s="137">
        <f>IF(P9="","",_xlfn.RANK.EQ(R9,R4:R19))</f>
        <v>6</v>
      </c>
      <c r="P9" s="139" t="str">
        <f t="shared" si="2"/>
        <v>西春日井B</v>
      </c>
      <c r="Q9" s="137">
        <f t="shared" si="3"/>
        <v>13</v>
      </c>
      <c r="R9" s="137">
        <f t="shared" si="4"/>
        <v>13.534099999999999</v>
      </c>
      <c r="T9" s="140" t="str">
        <f>IF(選手!B22="","",選手!B22)</f>
        <v>日進B</v>
      </c>
      <c r="U9" s="140" t="str">
        <f>IF(COUNTIF(選手!E22:E25,"男")&gt;0,"男","女")</f>
        <v>女</v>
      </c>
      <c r="V9" s="137">
        <f>W9+COUNTIF(W4:W9,W9)-1</f>
        <v>5</v>
      </c>
      <c r="W9" s="137">
        <f>_xlfn.RANK.EQ(AC9,AC4:AC19)</f>
        <v>5</v>
      </c>
      <c r="X9" s="137">
        <f t="shared" si="11"/>
        <v>17</v>
      </c>
      <c r="Y9" s="137">
        <f>記録!E5</f>
        <v>4</v>
      </c>
      <c r="Z9" s="137">
        <f>記録!D5</f>
        <v>4</v>
      </c>
      <c r="AA9" s="137">
        <f>記録!C5</f>
        <v>3</v>
      </c>
      <c r="AB9" s="137">
        <f>記録!B5</f>
        <v>6</v>
      </c>
      <c r="AC9" s="137">
        <f t="shared" si="5"/>
        <v>17.443599999999996</v>
      </c>
    </row>
    <row r="10" spans="2:29" x14ac:dyDescent="0.95">
      <c r="B10" s="122">
        <f>SMALL(V4:V19, 7)</f>
        <v>7</v>
      </c>
      <c r="C10" s="137">
        <f>SMALL(W4:W19, 7)</f>
        <v>7</v>
      </c>
      <c r="D10" s="138" t="str">
        <f t="shared" si="12"/>
        <v>日進A</v>
      </c>
      <c r="E10" s="137">
        <f t="shared" si="0"/>
        <v>15</v>
      </c>
      <c r="F10" s="137" t="str">
        <f t="shared" si="1"/>
        <v>男</v>
      </c>
      <c r="G10" s="137">
        <f t="shared" si="6"/>
        <v>10</v>
      </c>
      <c r="H10" s="137" t="str">
        <f t="shared" si="7"/>
        <v/>
      </c>
      <c r="J10" s="137">
        <f>IF(K10="","",_xlfn.RANK.EQ(M10,M4:M19))</f>
        <v>7</v>
      </c>
      <c r="K10" s="139" t="str">
        <f t="shared" si="8"/>
        <v>豊明A</v>
      </c>
      <c r="L10" s="137">
        <f t="shared" si="9"/>
        <v>12</v>
      </c>
      <c r="M10" s="137">
        <f t="shared" si="10"/>
        <v>12.333299999999999</v>
      </c>
      <c r="O10" s="137">
        <f>IF(P10="","",_xlfn.RANK.EQ(R10,R4:R19))</f>
        <v>7</v>
      </c>
      <c r="P10" s="139" t="str">
        <f t="shared" si="2"/>
        <v>尾張旭B</v>
      </c>
      <c r="Q10" s="137">
        <f t="shared" si="3"/>
        <v>10</v>
      </c>
      <c r="R10" s="137">
        <f t="shared" si="4"/>
        <v>10.233199999999998</v>
      </c>
      <c r="T10" s="140" t="str">
        <f>IF(選手!B26="","",選手!B26)</f>
        <v>長久手A</v>
      </c>
      <c r="U10" s="140" t="str">
        <f>IF(COUNTIF(選手!E26:E29,"男")&gt;0,"男","女")</f>
        <v>男</v>
      </c>
      <c r="V10" s="137">
        <f>W10+COUNTIF(W4:W10,W10)-1</f>
        <v>2</v>
      </c>
      <c r="W10" s="137">
        <f>_xlfn.RANK.EQ(AC10,AC4:AC19)</f>
        <v>2</v>
      </c>
      <c r="X10" s="137">
        <f t="shared" si="11"/>
        <v>20</v>
      </c>
      <c r="Y10" s="137">
        <f>記録!Y23</f>
        <v>5</v>
      </c>
      <c r="Z10" s="137">
        <f>記録!X23</f>
        <v>4</v>
      </c>
      <c r="AA10" s="137">
        <f>記録!W23</f>
        <v>7</v>
      </c>
      <c r="AB10" s="137">
        <f>記録!V23</f>
        <v>4</v>
      </c>
      <c r="AC10" s="137">
        <f t="shared" si="5"/>
        <v>20.5474</v>
      </c>
    </row>
    <row r="11" spans="2:29" x14ac:dyDescent="0.95">
      <c r="B11" s="122">
        <f>SMALL(V4:V19, 8)</f>
        <v>8</v>
      </c>
      <c r="C11" s="137">
        <f>SMALL(W4:W19, 8)</f>
        <v>8</v>
      </c>
      <c r="D11" s="138" t="str">
        <f t="shared" si="12"/>
        <v>春日井B</v>
      </c>
      <c r="E11" s="137">
        <f t="shared" si="0"/>
        <v>15</v>
      </c>
      <c r="F11" s="137" t="str">
        <f t="shared" si="1"/>
        <v>女</v>
      </c>
      <c r="G11" s="137" t="str">
        <f t="shared" si="6"/>
        <v/>
      </c>
      <c r="H11" s="137">
        <f t="shared" si="7"/>
        <v>11</v>
      </c>
      <c r="J11" s="137">
        <f>IF(K11="","",_xlfn.RANK.EQ(M11,M4:M19))</f>
        <v>8</v>
      </c>
      <c r="K11" s="139" t="str">
        <f t="shared" si="8"/>
        <v>西春日井A</v>
      </c>
      <c r="L11" s="137">
        <f t="shared" si="9"/>
        <v>7</v>
      </c>
      <c r="M11" s="137">
        <f t="shared" si="10"/>
        <v>7.2220999999999993</v>
      </c>
      <c r="O11" s="137" t="str">
        <f>IF(P11="","",_xlfn.RANK.EQ(R11,R4:R19))</f>
        <v/>
      </c>
      <c r="P11" s="139" t="str">
        <f t="shared" si="2"/>
        <v/>
      </c>
      <c r="Q11" s="137" t="str">
        <f t="shared" si="3"/>
        <v/>
      </c>
      <c r="R11" s="137" t="str">
        <f t="shared" si="4"/>
        <v/>
      </c>
      <c r="T11" s="140" t="str">
        <f>IF(選手!B30="","",選手!B30)</f>
        <v>長久手B</v>
      </c>
      <c r="U11" s="140" t="str">
        <f>IF(COUNTIF(選手!E30:E33,"男")&gt;0,"男","女")</f>
        <v>女</v>
      </c>
      <c r="V11" s="137">
        <f>W11+COUNTIF(W4:W11,W11)-1</f>
        <v>6</v>
      </c>
      <c r="W11" s="137">
        <f>_xlfn.RANK.EQ(AC11,AC4:AC19)</f>
        <v>6</v>
      </c>
      <c r="X11" s="137">
        <f t="shared" si="11"/>
        <v>16</v>
      </c>
      <c r="Y11" s="137">
        <f>記録!U23</f>
        <v>3</v>
      </c>
      <c r="Z11" s="137">
        <f>記録!T23</f>
        <v>4</v>
      </c>
      <c r="AA11" s="137">
        <f>記録!S23</f>
        <v>2</v>
      </c>
      <c r="AB11" s="137">
        <f>記録!R23</f>
        <v>7</v>
      </c>
      <c r="AC11" s="137">
        <f t="shared" si="5"/>
        <v>16.342699999999997</v>
      </c>
    </row>
    <row r="12" spans="2:29" x14ac:dyDescent="0.95">
      <c r="B12" s="122">
        <f>SMALL(V4:V19, 9)</f>
        <v>9</v>
      </c>
      <c r="C12" s="137">
        <f>SMALL(W4:W19, 9)</f>
        <v>9</v>
      </c>
      <c r="D12" s="138" t="str">
        <f t="shared" si="12"/>
        <v>瀬戸B</v>
      </c>
      <c r="E12" s="137">
        <f t="shared" si="0"/>
        <v>15</v>
      </c>
      <c r="F12" s="137" t="str">
        <f t="shared" si="1"/>
        <v>女</v>
      </c>
      <c r="G12" s="137" t="str">
        <f t="shared" si="6"/>
        <v/>
      </c>
      <c r="H12" s="137">
        <f t="shared" si="7"/>
        <v>12</v>
      </c>
      <c r="J12" s="137" t="str">
        <f>IF(K12="","",_xlfn.RANK.EQ(M12,M4:M19))</f>
        <v/>
      </c>
      <c r="K12" s="139" t="str">
        <f t="shared" si="8"/>
        <v/>
      </c>
      <c r="L12" s="137" t="str">
        <f t="shared" si="9"/>
        <v/>
      </c>
      <c r="M12" s="137" t="str">
        <f t="shared" si="10"/>
        <v/>
      </c>
      <c r="O12" s="137" t="str">
        <f>IF(P12="","",_xlfn.RANK.EQ(R12,R4:R19))</f>
        <v/>
      </c>
      <c r="P12" s="139" t="str">
        <f t="shared" si="2"/>
        <v/>
      </c>
      <c r="Q12" s="137" t="str">
        <f t="shared" si="3"/>
        <v/>
      </c>
      <c r="R12" s="137" t="str">
        <f t="shared" si="4"/>
        <v/>
      </c>
      <c r="T12" s="140" t="str">
        <f>IF(選手!B34="","",選手!B34)</f>
        <v>尾張旭A</v>
      </c>
      <c r="U12" s="140" t="str">
        <f>IF(COUNTIF(選手!E34:E37,"男")&gt;0,"男","女")</f>
        <v>男</v>
      </c>
      <c r="V12" s="137">
        <f>W12+COUNTIF(W4:W12,W12)-1</f>
        <v>4</v>
      </c>
      <c r="W12" s="137">
        <f>_xlfn.RANK.EQ(AC12,AC4:AC19)</f>
        <v>4</v>
      </c>
      <c r="X12" s="137">
        <f t="shared" si="11"/>
        <v>17</v>
      </c>
      <c r="Y12" s="137">
        <f>記録!Q23</f>
        <v>5</v>
      </c>
      <c r="Z12" s="137">
        <f>記録!P23</f>
        <v>4</v>
      </c>
      <c r="AA12" s="137">
        <f>記録!O23</f>
        <v>4</v>
      </c>
      <c r="AB12" s="137">
        <f>記録!N23</f>
        <v>4</v>
      </c>
      <c r="AC12" s="137">
        <f t="shared" si="5"/>
        <v>17.5444</v>
      </c>
    </row>
    <row r="13" spans="2:29" x14ac:dyDescent="0.95">
      <c r="B13" s="122">
        <f>SMALL(V4:V19, 10)</f>
        <v>10</v>
      </c>
      <c r="C13" s="137">
        <f>SMALL(W4:W19, 10)</f>
        <v>10</v>
      </c>
      <c r="D13" s="138" t="str">
        <f t="shared" si="12"/>
        <v>豊明B</v>
      </c>
      <c r="E13" s="137">
        <f t="shared" si="0"/>
        <v>14</v>
      </c>
      <c r="F13" s="137" t="str">
        <f t="shared" si="1"/>
        <v>女</v>
      </c>
      <c r="G13" s="137" t="str">
        <f t="shared" si="6"/>
        <v/>
      </c>
      <c r="H13" s="137">
        <f t="shared" si="7"/>
        <v>13</v>
      </c>
      <c r="J13" s="137" t="str">
        <f>IF(K13="","",_xlfn.RANK.EQ(M13,M4:M19))</f>
        <v/>
      </c>
      <c r="K13" s="139" t="str">
        <f t="shared" si="8"/>
        <v/>
      </c>
      <c r="L13" s="137" t="str">
        <f t="shared" si="9"/>
        <v/>
      </c>
      <c r="M13" s="137" t="str">
        <f t="shared" si="10"/>
        <v/>
      </c>
      <c r="O13" s="137" t="str">
        <f>IF(P13="","",_xlfn.RANK.EQ(R13,R4:R19))</f>
        <v/>
      </c>
      <c r="P13" s="139" t="str">
        <f t="shared" si="2"/>
        <v/>
      </c>
      <c r="Q13" s="137" t="str">
        <f t="shared" si="3"/>
        <v/>
      </c>
      <c r="R13" s="137" t="str">
        <f t="shared" si="4"/>
        <v/>
      </c>
      <c r="T13" s="140" t="str">
        <f>IF(選手!B38="","",選手!B38)</f>
        <v>尾張旭B</v>
      </c>
      <c r="U13" s="140" t="str">
        <f>IF(COUNTIF(選手!E38:E41,"男")&gt;0,"男","女")</f>
        <v>女</v>
      </c>
      <c r="V13" s="137">
        <f>W13+COUNTIF(W4:W13,W13)-1</f>
        <v>14</v>
      </c>
      <c r="W13" s="137">
        <f>_xlfn.RANK.EQ(AC13,AC4:AC19)</f>
        <v>14</v>
      </c>
      <c r="X13" s="137">
        <f t="shared" si="11"/>
        <v>10</v>
      </c>
      <c r="Y13" s="137">
        <f>記録!M23</f>
        <v>2</v>
      </c>
      <c r="Z13" s="137">
        <f>記録!L23</f>
        <v>3</v>
      </c>
      <c r="AA13" s="137">
        <f>記録!K23</f>
        <v>3</v>
      </c>
      <c r="AB13" s="137">
        <f>記録!J23</f>
        <v>2</v>
      </c>
      <c r="AC13" s="137">
        <f t="shared" si="5"/>
        <v>10.233199999999998</v>
      </c>
    </row>
    <row r="14" spans="2:29" x14ac:dyDescent="0.95">
      <c r="B14" s="122">
        <f>SMALL(V4:V19, 11)</f>
        <v>11</v>
      </c>
      <c r="C14" s="137">
        <f>SMALL(W4:W19, 11)</f>
        <v>11</v>
      </c>
      <c r="D14" s="138" t="str">
        <f t="shared" si="12"/>
        <v>瀬戸A</v>
      </c>
      <c r="E14" s="137">
        <f t="shared" si="0"/>
        <v>14</v>
      </c>
      <c r="F14" s="137" t="str">
        <f t="shared" si="1"/>
        <v>男</v>
      </c>
      <c r="G14" s="137">
        <f t="shared" si="6"/>
        <v>14</v>
      </c>
      <c r="H14" s="137" t="str">
        <f t="shared" si="7"/>
        <v/>
      </c>
      <c r="J14" s="137" t="str">
        <f>IF(K14="","",_xlfn.RANK.EQ(M14,M4:M19))</f>
        <v/>
      </c>
      <c r="K14" s="139" t="str">
        <f t="shared" si="8"/>
        <v/>
      </c>
      <c r="L14" s="137" t="str">
        <f t="shared" si="9"/>
        <v/>
      </c>
      <c r="M14" s="137" t="str">
        <f t="shared" si="10"/>
        <v/>
      </c>
      <c r="O14" s="137" t="str">
        <f>IF(P14="","",_xlfn.RANK.EQ(R14,R4:R19))</f>
        <v/>
      </c>
      <c r="P14" s="139" t="str">
        <f t="shared" si="2"/>
        <v/>
      </c>
      <c r="Q14" s="137" t="str">
        <f t="shared" si="3"/>
        <v/>
      </c>
      <c r="R14" s="137" t="str">
        <f t="shared" si="4"/>
        <v/>
      </c>
      <c r="T14" s="140" t="str">
        <f>IF(選手!B42="","",選手!B42)</f>
        <v>西春日井A</v>
      </c>
      <c r="U14" s="140" t="str">
        <f>IF(COUNTIF(選手!E42:E45,"男")&gt;0,"男","女")</f>
        <v>男</v>
      </c>
      <c r="V14" s="137">
        <f>W14+COUNTIF(W4:W14,W14)-1</f>
        <v>15</v>
      </c>
      <c r="W14" s="137">
        <f>_xlfn.RANK.EQ(AC14,AC4:AC19)</f>
        <v>15</v>
      </c>
      <c r="X14" s="137">
        <f t="shared" si="11"/>
        <v>7</v>
      </c>
      <c r="Y14" s="137">
        <f>記録!Y41</f>
        <v>2</v>
      </c>
      <c r="Z14" s="137">
        <f>記録!X41</f>
        <v>2</v>
      </c>
      <c r="AA14" s="137">
        <f>記録!W41</f>
        <v>2</v>
      </c>
      <c r="AB14" s="137">
        <f>記録!V41</f>
        <v>1</v>
      </c>
      <c r="AC14" s="137">
        <f t="shared" si="5"/>
        <v>7.2220999999999993</v>
      </c>
    </row>
    <row r="15" spans="2:29" x14ac:dyDescent="0.95">
      <c r="B15" s="122">
        <f>SMALL(V4:V19, 12)</f>
        <v>12</v>
      </c>
      <c r="C15" s="137">
        <f>SMALL(W4:W19, 12)</f>
        <v>12</v>
      </c>
      <c r="D15" s="138" t="str">
        <f t="shared" si="12"/>
        <v>西春日井B</v>
      </c>
      <c r="E15" s="137">
        <f t="shared" si="0"/>
        <v>13</v>
      </c>
      <c r="F15" s="137" t="str">
        <f t="shared" si="1"/>
        <v>女</v>
      </c>
      <c r="G15" s="137" t="str">
        <f t="shared" si="6"/>
        <v/>
      </c>
      <c r="H15" s="137">
        <f t="shared" si="7"/>
        <v>15</v>
      </c>
      <c r="J15" s="137" t="str">
        <f>IF(K15="","",_xlfn.RANK.EQ(M15,M4:M19))</f>
        <v/>
      </c>
      <c r="K15" s="139" t="str">
        <f t="shared" si="8"/>
        <v/>
      </c>
      <c r="L15" s="137" t="str">
        <f t="shared" si="9"/>
        <v/>
      </c>
      <c r="M15" s="137" t="str">
        <f t="shared" si="10"/>
        <v/>
      </c>
      <c r="O15" s="137" t="str">
        <f>IF(P15="","",_xlfn.RANK.EQ(R15,R4:R19))</f>
        <v/>
      </c>
      <c r="P15" s="139" t="str">
        <f t="shared" si="2"/>
        <v/>
      </c>
      <c r="Q15" s="137" t="str">
        <f t="shared" si="3"/>
        <v/>
      </c>
      <c r="R15" s="137" t="str">
        <f t="shared" si="4"/>
        <v/>
      </c>
      <c r="T15" s="140" t="str">
        <f>IF(選手!B46="","",選手!B46)</f>
        <v>西春日井B</v>
      </c>
      <c r="U15" s="140" t="str">
        <f>IF(COUNTIF(選手!E46:E49,"男")&gt;0,"男","女")</f>
        <v>女</v>
      </c>
      <c r="V15" s="137">
        <f>W15+COUNTIF(W4:W15,W15)-1</f>
        <v>12</v>
      </c>
      <c r="W15" s="137">
        <f>_xlfn.RANK.EQ(AC15,AC4:AC19)</f>
        <v>12</v>
      </c>
      <c r="X15" s="137">
        <f t="shared" si="11"/>
        <v>13</v>
      </c>
      <c r="Y15" s="137">
        <f>記録!U41</f>
        <v>5</v>
      </c>
      <c r="Z15" s="137">
        <f>記録!T41</f>
        <v>3</v>
      </c>
      <c r="AA15" s="137">
        <f>記録!S41</f>
        <v>4</v>
      </c>
      <c r="AB15" s="137">
        <f>記録!R41</f>
        <v>1</v>
      </c>
      <c r="AC15" s="137">
        <f t="shared" si="5"/>
        <v>13.534099999999999</v>
      </c>
    </row>
    <row r="16" spans="2:29" x14ac:dyDescent="0.95">
      <c r="B16" s="122">
        <f>SMALL(V4:V19, 13)</f>
        <v>13</v>
      </c>
      <c r="C16" s="137">
        <f>SMALL(W4:W19, 13)</f>
        <v>13</v>
      </c>
      <c r="D16" s="138" t="str">
        <f t="shared" si="12"/>
        <v>豊明A</v>
      </c>
      <c r="E16" s="137">
        <f t="shared" si="0"/>
        <v>12</v>
      </c>
      <c r="F16" s="137" t="str">
        <f t="shared" si="1"/>
        <v>男</v>
      </c>
      <c r="G16" s="137">
        <f t="shared" si="6"/>
        <v>16</v>
      </c>
      <c r="H16" s="137" t="str">
        <f t="shared" si="7"/>
        <v/>
      </c>
      <c r="J16" s="137" t="str">
        <f>IF(K16="","",_xlfn.RANK.EQ(M16,M4:M19))</f>
        <v/>
      </c>
      <c r="K16" s="139" t="str">
        <f t="shared" si="8"/>
        <v/>
      </c>
      <c r="L16" s="137" t="str">
        <f t="shared" si="9"/>
        <v/>
      </c>
      <c r="M16" s="137" t="str">
        <f t="shared" si="10"/>
        <v/>
      </c>
      <c r="O16" s="137" t="str">
        <f>IF(P16="","",_xlfn.RANK.EQ(R16,R4:R19))</f>
        <v/>
      </c>
      <c r="P16" s="139" t="str">
        <f t="shared" si="2"/>
        <v/>
      </c>
      <c r="Q16" s="137" t="str">
        <f t="shared" si="3"/>
        <v/>
      </c>
      <c r="R16" s="137" t="str">
        <f t="shared" si="4"/>
        <v/>
      </c>
      <c r="T16" s="140" t="str">
        <f>IF(選手!B50="","",選手!B50)</f>
        <v>愛知A</v>
      </c>
      <c r="U16" s="140" t="str">
        <f>IF(COUNTIF(選手!E50:E53,"男")&gt;0,"男","女")</f>
        <v>男</v>
      </c>
      <c r="V16" s="137">
        <f>W16+COUNTIF(W4:W16,W16)-1</f>
        <v>3</v>
      </c>
      <c r="W16" s="137">
        <f>_xlfn.RANK.EQ(AC16,AC4:AC19)</f>
        <v>3</v>
      </c>
      <c r="X16" s="137">
        <f t="shared" si="11"/>
        <v>19</v>
      </c>
      <c r="Y16" s="137">
        <f>記録!Q41</f>
        <v>4</v>
      </c>
      <c r="Z16" s="137">
        <f>記録!P41</f>
        <v>4</v>
      </c>
      <c r="AA16" s="137">
        <f>記録!O41</f>
        <v>5</v>
      </c>
      <c r="AB16" s="137">
        <f>記録!N41</f>
        <v>6</v>
      </c>
      <c r="AC16" s="137">
        <f t="shared" si="5"/>
        <v>19.445599999999995</v>
      </c>
    </row>
    <row r="17" spans="2:29" x14ac:dyDescent="0.95">
      <c r="B17" s="122">
        <f>SMALL(V4:V19, 14)</f>
        <v>14</v>
      </c>
      <c r="C17" s="137">
        <f>SMALL(W4:W19, 14)</f>
        <v>14</v>
      </c>
      <c r="D17" s="138" t="str">
        <f t="shared" si="12"/>
        <v>尾張旭B</v>
      </c>
      <c r="E17" s="137">
        <f t="shared" si="0"/>
        <v>10</v>
      </c>
      <c r="F17" s="137" t="str">
        <f t="shared" si="1"/>
        <v>女</v>
      </c>
      <c r="G17" s="137" t="str">
        <f t="shared" si="6"/>
        <v/>
      </c>
      <c r="H17" s="137">
        <f t="shared" si="7"/>
        <v>17</v>
      </c>
      <c r="J17" s="137" t="str">
        <f>IF(K17="","",_xlfn.RANK.EQ(M17,M4:M19))</f>
        <v/>
      </c>
      <c r="K17" s="139" t="str">
        <f t="shared" si="8"/>
        <v/>
      </c>
      <c r="L17" s="137" t="str">
        <f t="shared" si="9"/>
        <v/>
      </c>
      <c r="M17" s="137" t="str">
        <f t="shared" si="10"/>
        <v/>
      </c>
      <c r="O17" s="137" t="str">
        <f>IF(P17="","",_xlfn.RANK.EQ(R17,R4:R19))</f>
        <v/>
      </c>
      <c r="P17" s="139" t="str">
        <f t="shared" si="2"/>
        <v/>
      </c>
      <c r="Q17" s="137" t="str">
        <f t="shared" si="3"/>
        <v/>
      </c>
      <c r="R17" s="137" t="str">
        <f t="shared" si="4"/>
        <v/>
      </c>
      <c r="T17" s="140" t="str">
        <f>IF(選手!B54="","",選手!B54)</f>
        <v>瀬戸A</v>
      </c>
      <c r="U17" s="140" t="str">
        <f>IF(COUNTIF(選手!E54:E57,"男")&gt;0,"男","女")</f>
        <v>男</v>
      </c>
      <c r="V17" s="137">
        <f>W17+COUNTIF(W4:W17,W17)-1</f>
        <v>11</v>
      </c>
      <c r="W17" s="137">
        <f>_xlfn.RANK.EQ(AC17,AC4:AC19)</f>
        <v>11</v>
      </c>
      <c r="X17" s="137">
        <f t="shared" si="11"/>
        <v>14</v>
      </c>
      <c r="Y17" s="137">
        <f>記録!M41</f>
        <v>2</v>
      </c>
      <c r="Z17" s="137">
        <f>記録!L41</f>
        <v>6</v>
      </c>
      <c r="AA17" s="137">
        <f>記録!K41</f>
        <v>3</v>
      </c>
      <c r="AB17" s="137">
        <f>記録!J41</f>
        <v>3</v>
      </c>
      <c r="AC17" s="137">
        <f t="shared" si="5"/>
        <v>14.263299999999999</v>
      </c>
    </row>
    <row r="18" spans="2:29" x14ac:dyDescent="0.95">
      <c r="B18" s="122">
        <f>SMALL(V4:V19, 15)</f>
        <v>15</v>
      </c>
      <c r="C18" s="137">
        <f>SMALL(W4:W19, 15)</f>
        <v>15</v>
      </c>
      <c r="D18" s="138" t="str">
        <f t="shared" si="12"/>
        <v>西春日井A</v>
      </c>
      <c r="E18" s="137">
        <f t="shared" si="0"/>
        <v>7</v>
      </c>
      <c r="F18" s="137" t="str">
        <f t="shared" si="1"/>
        <v>男</v>
      </c>
      <c r="G18" s="137">
        <f t="shared" si="6"/>
        <v>18</v>
      </c>
      <c r="H18" s="137" t="str">
        <f t="shared" si="7"/>
        <v/>
      </c>
      <c r="J18" s="137" t="str">
        <f>IF(K18="","",_xlfn.RANK.EQ(M18,M4:M19))</f>
        <v/>
      </c>
      <c r="K18" s="139" t="str">
        <f t="shared" si="8"/>
        <v/>
      </c>
      <c r="L18" s="137" t="str">
        <f t="shared" si="9"/>
        <v/>
      </c>
      <c r="M18" s="137" t="str">
        <f t="shared" si="10"/>
        <v/>
      </c>
      <c r="O18" s="137" t="str">
        <f>IF(P18="","",_xlfn.RANK.EQ(R18,R4:R19))</f>
        <v/>
      </c>
      <c r="P18" s="139" t="str">
        <f t="shared" si="2"/>
        <v/>
      </c>
      <c r="Q18" s="137" t="str">
        <f t="shared" si="3"/>
        <v/>
      </c>
      <c r="R18" s="137" t="str">
        <f t="shared" si="4"/>
        <v/>
      </c>
      <c r="T18" s="140" t="str">
        <f>IF(選手!B58="","",選手!B58)</f>
        <v>瀬戸B</v>
      </c>
      <c r="U18" s="140" t="str">
        <f>IF(COUNTIF(選手!E58:E61,"男")&gt;0,"男","女")</f>
        <v>女</v>
      </c>
      <c r="V18" s="137">
        <f>W18+COUNTIF(W4:W18,W18)-1</f>
        <v>9</v>
      </c>
      <c r="W18" s="137">
        <f>_xlfn.RANK.EQ(AC18,AC4:AC19)</f>
        <v>9</v>
      </c>
      <c r="X18" s="137">
        <f t="shared" si="11"/>
        <v>15</v>
      </c>
      <c r="Y18" s="137">
        <f>記録!I41</f>
        <v>3</v>
      </c>
      <c r="Z18" s="137">
        <f>記録!H41</f>
        <v>4</v>
      </c>
      <c r="AA18" s="137">
        <f>記録!G41</f>
        <v>5</v>
      </c>
      <c r="AB18" s="137">
        <f>記録!F41</f>
        <v>3</v>
      </c>
      <c r="AC18" s="137">
        <f t="shared" si="5"/>
        <v>15.3453</v>
      </c>
    </row>
    <row r="19" spans="2:29" x14ac:dyDescent="0.95">
      <c r="B19" s="122">
        <f>SMALL(V4:V19, 16)</f>
        <v>16</v>
      </c>
      <c r="C19" s="137">
        <f>SMALL(W4:W19, 16)</f>
        <v>16</v>
      </c>
      <c r="D19" s="138" t="str">
        <f t="shared" si="12"/>
        <v>ダミーA</v>
      </c>
      <c r="E19" s="137">
        <f t="shared" si="0"/>
        <v>0</v>
      </c>
      <c r="F19" s="137">
        <f t="shared" si="1"/>
        <v>0</v>
      </c>
      <c r="G19" s="137" t="str">
        <f t="shared" si="6"/>
        <v/>
      </c>
      <c r="H19" s="137" t="str">
        <f t="shared" si="7"/>
        <v/>
      </c>
      <c r="J19" s="141" t="str">
        <f>IF(K19="","",_xlfn.RANK.EQ(M19,M4:M19))</f>
        <v/>
      </c>
      <c r="K19" s="142" t="str">
        <f t="shared" si="8"/>
        <v/>
      </c>
      <c r="L19" s="141" t="str">
        <f>IF(K19="","",INDEX(E:E,MATCH(K19,D:D,0)))</f>
        <v/>
      </c>
      <c r="M19" s="141" t="str">
        <f t="shared" si="10"/>
        <v/>
      </c>
      <c r="O19" s="141" t="str">
        <f>IF(P19="","",_xlfn.RANK.EQ(R19,R4:R19))</f>
        <v/>
      </c>
      <c r="P19" s="142" t="str">
        <f t="shared" si="2"/>
        <v/>
      </c>
      <c r="Q19" s="141" t="str">
        <f t="shared" si="3"/>
        <v/>
      </c>
      <c r="R19" s="141" t="str">
        <f t="shared" si="4"/>
        <v/>
      </c>
      <c r="T19" s="143" t="str">
        <f>IF(選手!B62="","",選手!B62)</f>
        <v>ダミーA</v>
      </c>
      <c r="U19" s="137"/>
      <c r="V19" s="137">
        <f>W19+COUNTIF(W4:W19,W19)-1</f>
        <v>16</v>
      </c>
      <c r="W19" s="137">
        <f>_xlfn.RANK.EQ(AC19,AC4:AC19)</f>
        <v>16</v>
      </c>
      <c r="X19" s="137">
        <f t="shared" si="11"/>
        <v>0</v>
      </c>
      <c r="Y19" s="137">
        <f>記録!E59</f>
        <v>0</v>
      </c>
      <c r="Z19" s="137">
        <f>記録!D59</f>
        <v>0</v>
      </c>
      <c r="AA19" s="137">
        <f>記録!C59</f>
        <v>0</v>
      </c>
      <c r="AB19" s="137">
        <f>記録!B59</f>
        <v>0</v>
      </c>
      <c r="AC19" s="137">
        <f t="shared" si="5"/>
        <v>0</v>
      </c>
    </row>
  </sheetData>
  <mergeCells count="4">
    <mergeCell ref="J2:L2"/>
    <mergeCell ref="O2:Q2"/>
    <mergeCell ref="C2:E2"/>
    <mergeCell ref="T2:AC2"/>
  </mergeCells>
  <phoneticPr fontId="1"/>
  <pageMargins left="0.7" right="0.7" top="0.75" bottom="0.75" header="0.3" footer="0.3"/>
  <pageSetup paperSize="9" orientation="portrait"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B6441-2015-4799-83C4-2E8B41E544A0}">
  <dimension ref="B1:AG66"/>
  <sheetViews>
    <sheetView zoomScaleNormal="100" workbookViewId="0">
      <selection activeCell="Z21" sqref="Z21"/>
    </sheetView>
  </sheetViews>
  <sheetFormatPr defaultRowHeight="22.5" x14ac:dyDescent="0.75"/>
  <cols>
    <col min="1" max="1" width="3.58203125" style="144" customWidth="1"/>
    <col min="2" max="2" width="3.1640625" style="144" hidden="1" customWidth="1"/>
    <col min="3" max="3" width="6.1640625" style="144" bestFit="1" customWidth="1"/>
    <col min="4" max="4" width="12.58203125" style="144" bestFit="1" customWidth="1"/>
    <col min="5" max="5" width="6.5" style="144" bestFit="1" customWidth="1"/>
    <col min="6" max="6" width="16.75" style="144" bestFit="1" customWidth="1"/>
    <col min="7" max="7" width="6.1640625" style="144" bestFit="1" customWidth="1"/>
    <col min="8" max="8" width="8.5" style="144" bestFit="1" customWidth="1"/>
    <col min="9" max="10" width="3.1640625" style="144" hidden="1" customWidth="1"/>
    <col min="11" max="11" width="2.1640625" style="144" bestFit="1" customWidth="1"/>
    <col min="12" max="12" width="6.1640625" style="144" bestFit="1" customWidth="1"/>
    <col min="13" max="13" width="12.58203125" style="144" bestFit="1" customWidth="1"/>
    <col min="14" max="14" width="5.75" style="144" bestFit="1" customWidth="1"/>
    <col min="15" max="15" width="14.25" style="144" bestFit="1" customWidth="1"/>
    <col min="16" max="16" width="9.5" style="144" customWidth="1"/>
    <col min="17" max="17" width="14.5" style="144" hidden="1" customWidth="1"/>
    <col min="18" max="18" width="3.58203125" style="144" customWidth="1"/>
    <col min="19" max="19" width="6.1640625" style="144" bestFit="1" customWidth="1"/>
    <col min="20" max="20" width="12.58203125" style="144" bestFit="1" customWidth="1"/>
    <col min="21" max="21" width="5.75" style="144" bestFit="1" customWidth="1"/>
    <col min="22" max="22" width="16.75" style="144" bestFit="1" customWidth="1"/>
    <col min="23" max="23" width="8.5" style="144" bestFit="1" customWidth="1"/>
    <col min="24" max="24" width="14.5" style="144" hidden="1" customWidth="1"/>
    <col min="25" max="25" width="3.58203125" style="144" customWidth="1"/>
    <col min="26" max="26" width="14.25" style="144" bestFit="1" customWidth="1"/>
    <col min="27" max="27" width="5.75" style="144" bestFit="1" customWidth="1"/>
    <col min="28" max="28" width="16.75" style="144" bestFit="1" customWidth="1"/>
    <col min="29" max="29" width="7" style="144" bestFit="1" customWidth="1"/>
    <col min="30" max="30" width="8.5" style="144" bestFit="1" customWidth="1"/>
    <col min="31" max="33" width="10.1640625" style="144" hidden="1" customWidth="1"/>
    <col min="34" max="16384" width="8.6640625" style="144"/>
  </cols>
  <sheetData>
    <row r="1" spans="2:33" x14ac:dyDescent="0.75">
      <c r="C1" s="195" t="s">
        <v>36</v>
      </c>
      <c r="D1" s="196"/>
      <c r="E1" s="196"/>
      <c r="F1" s="196"/>
      <c r="G1" s="196"/>
      <c r="H1" s="197"/>
      <c r="L1" s="198" t="s">
        <v>33</v>
      </c>
      <c r="M1" s="199"/>
      <c r="N1" s="199"/>
      <c r="O1" s="199"/>
      <c r="P1" s="200"/>
      <c r="S1" s="201" t="s">
        <v>34</v>
      </c>
      <c r="T1" s="202"/>
      <c r="U1" s="202"/>
      <c r="V1" s="202"/>
      <c r="W1" s="203"/>
    </row>
    <row r="2" spans="2:33" x14ac:dyDescent="0.75">
      <c r="C2" s="145" t="s">
        <v>11</v>
      </c>
      <c r="D2" s="146" t="s">
        <v>2</v>
      </c>
      <c r="E2" s="146" t="s">
        <v>18</v>
      </c>
      <c r="F2" s="146" t="s">
        <v>0</v>
      </c>
      <c r="G2" s="146" t="s">
        <v>1</v>
      </c>
      <c r="H2" s="147" t="s">
        <v>6</v>
      </c>
      <c r="L2" s="148" t="s">
        <v>11</v>
      </c>
      <c r="M2" s="149" t="s">
        <v>2</v>
      </c>
      <c r="N2" s="149" t="s">
        <v>18</v>
      </c>
      <c r="O2" s="149" t="s">
        <v>0</v>
      </c>
      <c r="P2" s="150" t="s">
        <v>6</v>
      </c>
      <c r="S2" s="151" t="s">
        <v>11</v>
      </c>
      <c r="T2" s="152" t="s">
        <v>2</v>
      </c>
      <c r="U2" s="152" t="s">
        <v>18</v>
      </c>
      <c r="V2" s="152" t="s">
        <v>0</v>
      </c>
      <c r="W2" s="153" t="s">
        <v>6</v>
      </c>
      <c r="Z2" s="154" t="s">
        <v>2</v>
      </c>
      <c r="AA2" s="155" t="s">
        <v>18</v>
      </c>
      <c r="AB2" s="155" t="s">
        <v>0</v>
      </c>
      <c r="AC2" s="155" t="s">
        <v>1</v>
      </c>
      <c r="AD2" s="156" t="s">
        <v>6</v>
      </c>
      <c r="AE2" s="157" t="s">
        <v>31</v>
      </c>
      <c r="AF2" s="78" t="s">
        <v>16</v>
      </c>
      <c r="AG2" s="78" t="s">
        <v>17</v>
      </c>
    </row>
    <row r="3" spans="2:33" x14ac:dyDescent="0.75">
      <c r="B3" s="144">
        <v>1</v>
      </c>
      <c r="C3" s="158">
        <f t="shared" ref="C3:C34" si="0">SMALL(AG:AG, B3)</f>
        <v>1</v>
      </c>
      <c r="D3" s="159" t="str">
        <f t="shared" ref="D3:D34" si="1">INDEX(Z:Z,MATCH(B3,AF:AF,0))</f>
        <v>春日井A</v>
      </c>
      <c r="E3" s="158">
        <f t="shared" ref="E3:E34" si="2">INDEX(AA:AA,MATCH(B3,AF:AF,0))</f>
        <v>4</v>
      </c>
      <c r="F3" s="159" t="str">
        <f t="shared" ref="F3:F34" si="3">INDEX(AB:AB,MATCH(B3,AF:AF,0))</f>
        <v>田井 泰</v>
      </c>
      <c r="G3" s="158" t="str">
        <f t="shared" ref="G3:G34" si="4">INDEX(AC:AC,MATCH(B3,AF:AF,0))</f>
        <v>男</v>
      </c>
      <c r="H3" s="160">
        <f t="shared" ref="H3:H66" si="5">IF(INDEX(AD:AD,MATCH(F3,AB:AB,0))=8,"皆中",INDEX(AD:AD,MATCH(F3,AB:AB,0)))</f>
        <v>7</v>
      </c>
      <c r="I3" s="161">
        <f>IF($G3="男",ROW(),"")</f>
        <v>3</v>
      </c>
      <c r="J3" s="161" t="str">
        <f>IF($G3="女",ROW(),"")</f>
        <v/>
      </c>
      <c r="L3" s="162">
        <f>IF(O3="","",_xlfn.RANK.EQ(Q3,Q:Q))</f>
        <v>1</v>
      </c>
      <c r="M3" s="163" t="str">
        <f t="shared" ref="M3:M34" si="6">IF(O3="","",INDEX(D:D,MATCH(O3,F:F,0)))</f>
        <v>春日井A</v>
      </c>
      <c r="N3" s="162">
        <f t="shared" ref="N3:N34" si="7">IF(O3="","",INDEX(E:E,MATCH(O3,F:F,0)))</f>
        <v>4</v>
      </c>
      <c r="O3" s="164" t="str">
        <f t="shared" ref="O3:O34" si="8">IF(COUNT(I:I)&lt;ROW(B1),"",INDEX(F:F,SMALL(I:I,ROW(B1))))</f>
        <v>田井 泰</v>
      </c>
      <c r="P3" s="160">
        <f t="shared" ref="P3:P34" si="9">IF(O3="","",INDEX(H:H,MATCH(O3,F:F,0)))</f>
        <v>7</v>
      </c>
      <c r="Q3" s="162">
        <f t="shared" ref="Q3:Q22" si="10">IF(O3="","",INDEX(AE:AE,MATCH(O3,AB:AB,0)))</f>
        <v>7.111101111</v>
      </c>
      <c r="S3" s="162">
        <f>IF(V3="","",_xlfn.RANK.EQ(X3,X:X))</f>
        <v>1</v>
      </c>
      <c r="T3" s="163" t="str">
        <f t="shared" ref="T3:T34" si="11">IF(V3="","",INDEX(D:D,MATCH(V3,F:F,0)))</f>
        <v>長久手B</v>
      </c>
      <c r="U3" s="162">
        <f t="shared" ref="U3:U34" si="12">IF(V3="","",INDEX(E:E,MATCH(V3,F:F,0)))</f>
        <v>32</v>
      </c>
      <c r="V3" s="164" t="str">
        <f t="shared" ref="V3:V34" si="13">IF(COUNT(J:J)&lt;ROW(B1),"",INDEX(F:F,SMALL(J:J,ROW(B1))))</f>
        <v>野々垣 奈緒子</v>
      </c>
      <c r="W3" s="160">
        <f t="shared" ref="W3:W34" si="14">IF(V3="","",INDEX(H:H,MATCH(V3,F:F,0)))</f>
        <v>7</v>
      </c>
      <c r="X3" s="162">
        <f t="shared" ref="X3:X22" si="15">IF(V3="","",INDEX(AE:AE,MATCH(V3,AB:AB,0)))</f>
        <v>7.1011111109999998</v>
      </c>
      <c r="Z3" s="165" t="str">
        <f>IF(選手!B2="","",選手!B2)</f>
        <v>春日井A</v>
      </c>
      <c r="AA3" s="165">
        <f>IF(選手!C2="","",選手!C2)</f>
        <v>1</v>
      </c>
      <c r="AB3" s="166" t="str">
        <f>IF(選手!D2="","",選手!D2)</f>
        <v>峯 徹</v>
      </c>
      <c r="AC3" s="165" t="str">
        <f>IF(選手!E2="","",選手!E2)</f>
        <v>男</v>
      </c>
      <c r="AD3" s="167">
        <f>IF(記録!Y5=8,"皆中",記録!Y5)</f>
        <v>5</v>
      </c>
      <c r="AE3" s="166">
        <f>記録!Y4</f>
        <v>5.1011010109999999</v>
      </c>
      <c r="AF3" s="166">
        <f>AG3</f>
        <v>15</v>
      </c>
      <c r="AG3" s="166">
        <f t="shared" ref="AG3:AG34" si="16">_xlfn.RANK.EQ(AE3,AE:AE)</f>
        <v>15</v>
      </c>
    </row>
    <row r="4" spans="2:33" x14ac:dyDescent="0.75">
      <c r="B4" s="144">
        <v>2</v>
      </c>
      <c r="C4" s="158">
        <f t="shared" si="0"/>
        <v>2</v>
      </c>
      <c r="D4" s="159" t="str">
        <f t="shared" si="1"/>
        <v>長久手A</v>
      </c>
      <c r="E4" s="158">
        <f t="shared" si="2"/>
        <v>27</v>
      </c>
      <c r="F4" s="159" t="str">
        <f t="shared" si="3"/>
        <v>山本 三郎</v>
      </c>
      <c r="G4" s="158" t="str">
        <f t="shared" si="4"/>
        <v>男</v>
      </c>
      <c r="H4" s="160">
        <f t="shared" si="5"/>
        <v>7</v>
      </c>
      <c r="I4" s="161">
        <f t="shared" ref="I4:I66" si="17">IF($G4="男",ROW(),"")</f>
        <v>4</v>
      </c>
      <c r="J4" s="161" t="str">
        <f t="shared" ref="J4:J66" si="18">IF($G4="女",ROW(),"")</f>
        <v/>
      </c>
      <c r="L4" s="162">
        <f t="shared" ref="L4:L22" si="19">IF(O4="","",_xlfn.RANK.EQ(Q4,Q:Q))</f>
        <v>2</v>
      </c>
      <c r="M4" s="163" t="str">
        <f t="shared" si="6"/>
        <v>長久手A</v>
      </c>
      <c r="N4" s="162">
        <f t="shared" si="7"/>
        <v>27</v>
      </c>
      <c r="O4" s="164" t="str">
        <f t="shared" si="8"/>
        <v>山本 三郎</v>
      </c>
      <c r="P4" s="160">
        <f t="shared" si="9"/>
        <v>7</v>
      </c>
      <c r="Q4" s="162">
        <f t="shared" si="10"/>
        <v>7.1101111109999993</v>
      </c>
      <c r="S4" s="162">
        <f t="shared" ref="S4:S22" si="20">IF(V4="","",_xlfn.RANK.EQ(X4,X:X))</f>
        <v>2</v>
      </c>
      <c r="T4" s="163" t="str">
        <f t="shared" si="11"/>
        <v>日進B</v>
      </c>
      <c r="U4" s="162">
        <f t="shared" si="12"/>
        <v>24</v>
      </c>
      <c r="V4" s="164" t="str">
        <f t="shared" si="13"/>
        <v>谷口 洋子</v>
      </c>
      <c r="W4" s="160">
        <f t="shared" si="14"/>
        <v>6</v>
      </c>
      <c r="X4" s="162">
        <f t="shared" si="15"/>
        <v>6.1011110109999995</v>
      </c>
      <c r="Z4" s="165" t="str">
        <f>IF(選手!B3="","",選手!B3)</f>
        <v>春日井A</v>
      </c>
      <c r="AA4" s="165">
        <f>IF(選手!C3="","",選手!C3)</f>
        <v>2</v>
      </c>
      <c r="AB4" s="166" t="str">
        <f>IF(選手!D3="","",選手!D3)</f>
        <v>伊藤 恭浩</v>
      </c>
      <c r="AC4" s="165" t="str">
        <f>IF(選手!E3="","",選手!E3)</f>
        <v>男</v>
      </c>
      <c r="AD4" s="167">
        <f>記録!X5</f>
        <v>6</v>
      </c>
      <c r="AE4" s="166">
        <f>記録!X4</f>
        <v>6.1011101109999997</v>
      </c>
      <c r="AF4" s="166">
        <f>AG4+COUNTIF(AG3:AG4,AG4)-1</f>
        <v>7</v>
      </c>
      <c r="AG4" s="166">
        <f t="shared" si="16"/>
        <v>7</v>
      </c>
    </row>
    <row r="5" spans="2:33" x14ac:dyDescent="0.75">
      <c r="B5" s="144">
        <v>3</v>
      </c>
      <c r="C5" s="158">
        <f t="shared" si="0"/>
        <v>3</v>
      </c>
      <c r="D5" s="159" t="str">
        <f t="shared" si="1"/>
        <v>長久手B</v>
      </c>
      <c r="E5" s="158">
        <f t="shared" si="2"/>
        <v>32</v>
      </c>
      <c r="F5" s="159" t="str">
        <f t="shared" si="3"/>
        <v>野々垣 奈緒子</v>
      </c>
      <c r="G5" s="158" t="str">
        <f t="shared" si="4"/>
        <v>女</v>
      </c>
      <c r="H5" s="160">
        <f t="shared" si="5"/>
        <v>7</v>
      </c>
      <c r="I5" s="161" t="str">
        <f t="shared" si="17"/>
        <v/>
      </c>
      <c r="J5" s="161">
        <f t="shared" si="18"/>
        <v>5</v>
      </c>
      <c r="L5" s="162">
        <f t="shared" si="19"/>
        <v>3</v>
      </c>
      <c r="M5" s="163" t="str">
        <f t="shared" si="6"/>
        <v>瀬戸A</v>
      </c>
      <c r="N5" s="162">
        <f t="shared" si="7"/>
        <v>54</v>
      </c>
      <c r="O5" s="164" t="str">
        <f t="shared" si="8"/>
        <v>野村 清美</v>
      </c>
      <c r="P5" s="160">
        <f t="shared" si="9"/>
        <v>6</v>
      </c>
      <c r="Q5" s="162">
        <f t="shared" si="10"/>
        <v>6.1111011099999999</v>
      </c>
      <c r="S5" s="162">
        <f t="shared" si="20"/>
        <v>3</v>
      </c>
      <c r="T5" s="163" t="str">
        <f t="shared" si="11"/>
        <v>瀬戸B</v>
      </c>
      <c r="U5" s="162">
        <f t="shared" si="12"/>
        <v>59</v>
      </c>
      <c r="V5" s="164" t="str">
        <f t="shared" si="13"/>
        <v>瀬山 博子</v>
      </c>
      <c r="W5" s="160">
        <f t="shared" si="14"/>
        <v>5</v>
      </c>
      <c r="X5" s="162">
        <f t="shared" si="15"/>
        <v>5.1110101099999996</v>
      </c>
      <c r="Z5" s="165" t="str">
        <f>IF(選手!B4="","",選手!B4)</f>
        <v>春日井A</v>
      </c>
      <c r="AA5" s="165">
        <f>IF(選手!C4="","",選手!C4)</f>
        <v>3</v>
      </c>
      <c r="AB5" s="166" t="str">
        <f>IF(選手!D4="","",選手!D4)</f>
        <v>大嶋 啓嗣</v>
      </c>
      <c r="AC5" s="165" t="str">
        <f>IF(選手!E4="","",選手!E4)</f>
        <v>男</v>
      </c>
      <c r="AD5" s="167">
        <f>記録!W5</f>
        <v>3</v>
      </c>
      <c r="AE5" s="166">
        <f>記録!W4</f>
        <v>3.10101001</v>
      </c>
      <c r="AF5" s="166">
        <f>AG5+COUNTIF(AG3:AG5,AG5)-1</f>
        <v>41</v>
      </c>
      <c r="AG5" s="166">
        <f t="shared" si="16"/>
        <v>41</v>
      </c>
    </row>
    <row r="6" spans="2:33" x14ac:dyDescent="0.75">
      <c r="B6" s="144">
        <v>4</v>
      </c>
      <c r="C6" s="158">
        <f t="shared" si="0"/>
        <v>4</v>
      </c>
      <c r="D6" s="159" t="str">
        <f t="shared" si="1"/>
        <v>瀬戸A</v>
      </c>
      <c r="E6" s="158">
        <f t="shared" si="2"/>
        <v>54</v>
      </c>
      <c r="F6" s="159" t="str">
        <f t="shared" si="3"/>
        <v>野村 清美</v>
      </c>
      <c r="G6" s="158" t="str">
        <f t="shared" si="4"/>
        <v>男</v>
      </c>
      <c r="H6" s="160">
        <f t="shared" si="5"/>
        <v>6</v>
      </c>
      <c r="I6" s="161">
        <f t="shared" si="17"/>
        <v>6</v>
      </c>
      <c r="J6" s="161" t="str">
        <f t="shared" si="18"/>
        <v/>
      </c>
      <c r="L6" s="162">
        <f t="shared" si="19"/>
        <v>4</v>
      </c>
      <c r="M6" s="163" t="str">
        <f t="shared" si="6"/>
        <v>愛知A</v>
      </c>
      <c r="N6" s="162">
        <f t="shared" si="7"/>
        <v>52</v>
      </c>
      <c r="O6" s="164" t="str">
        <f t="shared" si="8"/>
        <v>木村 憲司</v>
      </c>
      <c r="P6" s="160">
        <f t="shared" si="9"/>
        <v>6</v>
      </c>
      <c r="Q6" s="162">
        <f t="shared" si="10"/>
        <v>6.1111010109999997</v>
      </c>
      <c r="S6" s="162">
        <f t="shared" si="20"/>
        <v>4</v>
      </c>
      <c r="T6" s="163" t="str">
        <f t="shared" si="11"/>
        <v>春日井B</v>
      </c>
      <c r="U6" s="162">
        <f t="shared" si="12"/>
        <v>7</v>
      </c>
      <c r="V6" s="164" t="str">
        <f t="shared" si="13"/>
        <v>片桐 志保</v>
      </c>
      <c r="W6" s="160">
        <f t="shared" si="14"/>
        <v>5</v>
      </c>
      <c r="X6" s="162">
        <f t="shared" si="15"/>
        <v>5.1100101109999994</v>
      </c>
      <c r="Z6" s="165" t="str">
        <f>IF(選手!B5="","",選手!B5)</f>
        <v>春日井A</v>
      </c>
      <c r="AA6" s="165">
        <f>IF(選手!C5="","",選手!C5)</f>
        <v>4</v>
      </c>
      <c r="AB6" s="166" t="str">
        <f>IF(選手!D5="","",選手!D5)</f>
        <v>田井 泰</v>
      </c>
      <c r="AC6" s="165" t="str">
        <f>IF(選手!E5="","",選手!E5)</f>
        <v>男</v>
      </c>
      <c r="AD6" s="167">
        <f>記録!V5</f>
        <v>7</v>
      </c>
      <c r="AE6" s="166">
        <f>記録!V4</f>
        <v>7.111101111</v>
      </c>
      <c r="AF6" s="166">
        <f>AG6+COUNTIF(AG3:AG6,AG6)-1</f>
        <v>1</v>
      </c>
      <c r="AG6" s="166">
        <f t="shared" si="16"/>
        <v>1</v>
      </c>
    </row>
    <row r="7" spans="2:33" x14ac:dyDescent="0.75">
      <c r="B7" s="144">
        <v>5</v>
      </c>
      <c r="C7" s="158">
        <f t="shared" si="0"/>
        <v>5</v>
      </c>
      <c r="D7" s="159" t="str">
        <f t="shared" si="1"/>
        <v>愛知A</v>
      </c>
      <c r="E7" s="158">
        <f t="shared" si="2"/>
        <v>52</v>
      </c>
      <c r="F7" s="159" t="str">
        <f t="shared" si="3"/>
        <v>木村 憲司</v>
      </c>
      <c r="G7" s="158" t="str">
        <f t="shared" si="4"/>
        <v>男</v>
      </c>
      <c r="H7" s="160">
        <f t="shared" si="5"/>
        <v>6</v>
      </c>
      <c r="I7" s="161">
        <f t="shared" si="17"/>
        <v>7</v>
      </c>
      <c r="J7" s="161" t="str">
        <f t="shared" si="18"/>
        <v/>
      </c>
      <c r="L7" s="162">
        <f t="shared" si="19"/>
        <v>5</v>
      </c>
      <c r="M7" s="163" t="str">
        <f t="shared" si="6"/>
        <v>春日井A</v>
      </c>
      <c r="N7" s="162">
        <f t="shared" si="7"/>
        <v>2</v>
      </c>
      <c r="O7" s="164" t="str">
        <f t="shared" si="8"/>
        <v>伊藤 恭浩</v>
      </c>
      <c r="P7" s="160">
        <f t="shared" si="9"/>
        <v>6</v>
      </c>
      <c r="Q7" s="162">
        <f t="shared" si="10"/>
        <v>6.1011101109999997</v>
      </c>
      <c r="S7" s="162">
        <f t="shared" si="20"/>
        <v>5</v>
      </c>
      <c r="T7" s="163" t="str">
        <f t="shared" si="11"/>
        <v>豊明B</v>
      </c>
      <c r="U7" s="162">
        <f t="shared" si="12"/>
        <v>15</v>
      </c>
      <c r="V7" s="164" t="str">
        <f t="shared" si="13"/>
        <v>樋田 良子</v>
      </c>
      <c r="W7" s="160">
        <f t="shared" si="14"/>
        <v>5</v>
      </c>
      <c r="X7" s="162">
        <f t="shared" si="15"/>
        <v>5.1011011010000002</v>
      </c>
      <c r="Z7" s="165" t="str">
        <f>IF(選手!B6="","",選手!B6)</f>
        <v>春日井B</v>
      </c>
      <c r="AA7" s="165">
        <f>IF(選手!C6="","",選手!C6)</f>
        <v>5</v>
      </c>
      <c r="AB7" s="166" t="str">
        <f>IF(選手!D6="","",選手!D6)</f>
        <v>佃 弘美</v>
      </c>
      <c r="AC7" s="165" t="str">
        <f>IF(選手!E6="","",選手!E6)</f>
        <v>女</v>
      </c>
      <c r="AD7" s="167">
        <f>記録!U5</f>
        <v>4</v>
      </c>
      <c r="AE7" s="166">
        <f>記録!U4</f>
        <v>4.1010101099999998</v>
      </c>
      <c r="AF7" s="166">
        <f>AG7+COUNTIF(AG3:AG7,AG7)-1</f>
        <v>31</v>
      </c>
      <c r="AG7" s="166">
        <f t="shared" si="16"/>
        <v>31</v>
      </c>
    </row>
    <row r="8" spans="2:33" x14ac:dyDescent="0.75">
      <c r="B8" s="144">
        <v>6</v>
      </c>
      <c r="C8" s="158">
        <f t="shared" si="0"/>
        <v>6</v>
      </c>
      <c r="D8" s="159" t="str">
        <f t="shared" si="1"/>
        <v>日進B</v>
      </c>
      <c r="E8" s="158">
        <f t="shared" si="2"/>
        <v>24</v>
      </c>
      <c r="F8" s="159" t="str">
        <f t="shared" si="3"/>
        <v>谷口 洋子</v>
      </c>
      <c r="G8" s="158" t="str">
        <f t="shared" si="4"/>
        <v>女</v>
      </c>
      <c r="H8" s="160">
        <f t="shared" si="5"/>
        <v>6</v>
      </c>
      <c r="I8" s="161" t="str">
        <f t="shared" si="17"/>
        <v/>
      </c>
      <c r="J8" s="161">
        <f t="shared" si="18"/>
        <v>8</v>
      </c>
      <c r="L8" s="162">
        <f t="shared" si="19"/>
        <v>6</v>
      </c>
      <c r="M8" s="163" t="str">
        <f t="shared" si="6"/>
        <v>長久手A</v>
      </c>
      <c r="N8" s="162">
        <f t="shared" si="7"/>
        <v>25</v>
      </c>
      <c r="O8" s="164" t="str">
        <f t="shared" si="8"/>
        <v>葛西 裕文</v>
      </c>
      <c r="P8" s="160">
        <f t="shared" si="9"/>
        <v>5</v>
      </c>
      <c r="Q8" s="162">
        <f t="shared" si="10"/>
        <v>5.1101100109999988</v>
      </c>
      <c r="S8" s="162">
        <f t="shared" si="20"/>
        <v>6</v>
      </c>
      <c r="T8" s="163" t="str">
        <f t="shared" si="11"/>
        <v>西春日井B</v>
      </c>
      <c r="U8" s="162">
        <f t="shared" si="12"/>
        <v>45</v>
      </c>
      <c r="V8" s="164" t="str">
        <f t="shared" si="13"/>
        <v>村瀬 沙織</v>
      </c>
      <c r="W8" s="160">
        <f t="shared" si="14"/>
        <v>5</v>
      </c>
      <c r="X8" s="162">
        <f t="shared" si="15"/>
        <v>5.1001101109999993</v>
      </c>
      <c r="Z8" s="165" t="str">
        <f>IF(選手!B7="","",選手!B7)</f>
        <v>春日井B</v>
      </c>
      <c r="AA8" s="165">
        <f>IF(選手!C7="","",選手!C7)</f>
        <v>6</v>
      </c>
      <c r="AB8" s="166" t="str">
        <f>IF(選手!D7="","",選手!D7)</f>
        <v>渡會 あすか</v>
      </c>
      <c r="AC8" s="165" t="str">
        <f>IF(選手!E7="","",選手!E7)</f>
        <v>女</v>
      </c>
      <c r="AD8" s="167">
        <f>記録!T5</f>
        <v>2</v>
      </c>
      <c r="AE8" s="166">
        <f>記録!T4</f>
        <v>2.1001001000000001</v>
      </c>
      <c r="AF8" s="166">
        <f>AG8+COUNTIF(AG3:AG8,AG8)-1</f>
        <v>55</v>
      </c>
      <c r="AG8" s="166">
        <f t="shared" si="16"/>
        <v>55</v>
      </c>
    </row>
    <row r="9" spans="2:33" x14ac:dyDescent="0.75">
      <c r="B9" s="144">
        <v>7</v>
      </c>
      <c r="C9" s="158">
        <f t="shared" si="0"/>
        <v>7</v>
      </c>
      <c r="D9" s="159" t="str">
        <f t="shared" si="1"/>
        <v>春日井A</v>
      </c>
      <c r="E9" s="158">
        <f t="shared" si="2"/>
        <v>2</v>
      </c>
      <c r="F9" s="159" t="str">
        <f t="shared" si="3"/>
        <v>伊藤 恭浩</v>
      </c>
      <c r="G9" s="158" t="str">
        <f t="shared" si="4"/>
        <v>男</v>
      </c>
      <c r="H9" s="160">
        <f t="shared" si="5"/>
        <v>6</v>
      </c>
      <c r="I9" s="161">
        <f t="shared" si="17"/>
        <v>9</v>
      </c>
      <c r="J9" s="161" t="str">
        <f t="shared" si="18"/>
        <v/>
      </c>
      <c r="L9" s="162">
        <f t="shared" si="19"/>
        <v>7</v>
      </c>
      <c r="M9" s="163" t="str">
        <f t="shared" si="6"/>
        <v>日進A</v>
      </c>
      <c r="N9" s="162">
        <f t="shared" si="7"/>
        <v>20</v>
      </c>
      <c r="O9" s="164" t="str">
        <f t="shared" si="8"/>
        <v>志手 俊二</v>
      </c>
      <c r="P9" s="160">
        <f t="shared" si="9"/>
        <v>5</v>
      </c>
      <c r="Q9" s="162">
        <f t="shared" si="10"/>
        <v>5.1101011099999996</v>
      </c>
      <c r="S9" s="162">
        <f t="shared" si="20"/>
        <v>7</v>
      </c>
      <c r="T9" s="163" t="str">
        <f t="shared" si="11"/>
        <v>日進B</v>
      </c>
      <c r="U9" s="162">
        <f t="shared" si="12"/>
        <v>22</v>
      </c>
      <c r="V9" s="164" t="str">
        <f t="shared" si="13"/>
        <v>越後 奈緒美</v>
      </c>
      <c r="W9" s="160">
        <f t="shared" si="14"/>
        <v>4</v>
      </c>
      <c r="X9" s="162">
        <f t="shared" si="15"/>
        <v>4.1101010999999996</v>
      </c>
      <c r="Z9" s="165" t="str">
        <f>IF(選手!B8="","",選手!B8)</f>
        <v>春日井B</v>
      </c>
      <c r="AA9" s="165">
        <f>IF(選手!C8="","",選手!C8)</f>
        <v>7</v>
      </c>
      <c r="AB9" s="166" t="str">
        <f>IF(選手!D8="","",選手!D8)</f>
        <v>片桐 志保</v>
      </c>
      <c r="AC9" s="165" t="str">
        <f>IF(選手!E8="","",選手!E8)</f>
        <v>女</v>
      </c>
      <c r="AD9" s="167">
        <f>記録!S5</f>
        <v>5</v>
      </c>
      <c r="AE9" s="166">
        <f>記録!S4</f>
        <v>5.1100101109999994</v>
      </c>
      <c r="AF9" s="166">
        <f>AG9+COUNTIF(AG3:AG9,AG9)-1</f>
        <v>11</v>
      </c>
      <c r="AG9" s="166">
        <f t="shared" si="16"/>
        <v>11</v>
      </c>
    </row>
    <row r="10" spans="2:33" x14ac:dyDescent="0.75">
      <c r="B10" s="144">
        <v>8</v>
      </c>
      <c r="C10" s="158">
        <f t="shared" si="0"/>
        <v>8</v>
      </c>
      <c r="D10" s="159" t="str">
        <f t="shared" si="1"/>
        <v>瀬戸B</v>
      </c>
      <c r="E10" s="158">
        <f t="shared" si="2"/>
        <v>59</v>
      </c>
      <c r="F10" s="159" t="str">
        <f t="shared" si="3"/>
        <v>瀬山 博子</v>
      </c>
      <c r="G10" s="158" t="str">
        <f t="shared" si="4"/>
        <v>女</v>
      </c>
      <c r="H10" s="160">
        <f t="shared" si="5"/>
        <v>5</v>
      </c>
      <c r="I10" s="161" t="str">
        <f t="shared" si="17"/>
        <v/>
      </c>
      <c r="J10" s="161">
        <f t="shared" si="18"/>
        <v>10</v>
      </c>
      <c r="L10" s="162">
        <f t="shared" si="19"/>
        <v>8</v>
      </c>
      <c r="M10" s="163" t="str">
        <f t="shared" si="6"/>
        <v>尾張旭A</v>
      </c>
      <c r="N10" s="162">
        <f t="shared" si="7"/>
        <v>33</v>
      </c>
      <c r="O10" s="164" t="str">
        <f t="shared" si="8"/>
        <v>西尾 雅司</v>
      </c>
      <c r="P10" s="160">
        <f t="shared" si="9"/>
        <v>5</v>
      </c>
      <c r="Q10" s="162">
        <f t="shared" si="10"/>
        <v>5.1011110009999996</v>
      </c>
      <c r="S10" s="162">
        <f t="shared" si="20"/>
        <v>8</v>
      </c>
      <c r="T10" s="163" t="str">
        <f t="shared" si="11"/>
        <v>西春日井B</v>
      </c>
      <c r="U10" s="162">
        <f t="shared" si="12"/>
        <v>47</v>
      </c>
      <c r="V10" s="164" t="str">
        <f t="shared" si="13"/>
        <v>荒川 花子</v>
      </c>
      <c r="W10" s="160">
        <f t="shared" si="14"/>
        <v>4</v>
      </c>
      <c r="X10" s="162">
        <f t="shared" si="15"/>
        <v>4.1101001009999996</v>
      </c>
      <c r="Z10" s="165" t="str">
        <f>IF(選手!B9="","",選手!B9)</f>
        <v>春日井B</v>
      </c>
      <c r="AA10" s="165">
        <f>IF(選手!C9="","",選手!C9)</f>
        <v>8</v>
      </c>
      <c r="AB10" s="166" t="str">
        <f>IF(選手!D9="","",選手!D9)</f>
        <v>伊藤 洋子</v>
      </c>
      <c r="AC10" s="165" t="str">
        <f>IF(選手!E9="","",選手!E9)</f>
        <v>女</v>
      </c>
      <c r="AD10" s="167">
        <f>記録!R5</f>
        <v>4</v>
      </c>
      <c r="AE10" s="166">
        <f>記録!R4</f>
        <v>4.1101000109999992</v>
      </c>
      <c r="AF10" s="166">
        <f>AG10+COUNTIF(AG3:AG10,AG10)-1</f>
        <v>20</v>
      </c>
      <c r="AG10" s="166">
        <f t="shared" si="16"/>
        <v>20</v>
      </c>
    </row>
    <row r="11" spans="2:33" x14ac:dyDescent="0.75">
      <c r="B11" s="144">
        <v>9</v>
      </c>
      <c r="C11" s="158">
        <f t="shared" si="0"/>
        <v>9</v>
      </c>
      <c r="D11" s="159" t="str">
        <f t="shared" si="1"/>
        <v>長久手A</v>
      </c>
      <c r="E11" s="158">
        <f t="shared" si="2"/>
        <v>25</v>
      </c>
      <c r="F11" s="159" t="str">
        <f t="shared" si="3"/>
        <v>葛西 裕文</v>
      </c>
      <c r="G11" s="158" t="str">
        <f t="shared" si="4"/>
        <v>男</v>
      </c>
      <c r="H11" s="160">
        <f t="shared" si="5"/>
        <v>5</v>
      </c>
      <c r="I11" s="161">
        <f t="shared" si="17"/>
        <v>11</v>
      </c>
      <c r="J11" s="161" t="str">
        <f t="shared" si="18"/>
        <v/>
      </c>
      <c r="L11" s="162">
        <f t="shared" si="19"/>
        <v>9</v>
      </c>
      <c r="M11" s="163" t="str">
        <f t="shared" si="6"/>
        <v>愛知A</v>
      </c>
      <c r="N11" s="162">
        <f t="shared" si="7"/>
        <v>51</v>
      </c>
      <c r="O11" s="164" t="str">
        <f t="shared" si="8"/>
        <v>小沢 浩寿</v>
      </c>
      <c r="P11" s="160">
        <f t="shared" si="9"/>
        <v>5</v>
      </c>
      <c r="Q11" s="162">
        <f t="shared" si="10"/>
        <v>5.1011101009999997</v>
      </c>
      <c r="S11" s="162">
        <f t="shared" si="20"/>
        <v>9</v>
      </c>
      <c r="T11" s="163" t="str">
        <f t="shared" si="11"/>
        <v>春日井B</v>
      </c>
      <c r="U11" s="162">
        <f t="shared" si="12"/>
        <v>8</v>
      </c>
      <c r="V11" s="164" t="str">
        <f t="shared" si="13"/>
        <v>伊藤 洋子</v>
      </c>
      <c r="W11" s="160">
        <f t="shared" si="14"/>
        <v>4</v>
      </c>
      <c r="X11" s="162">
        <f t="shared" si="15"/>
        <v>4.1101000109999992</v>
      </c>
      <c r="Z11" s="165" t="str">
        <f>IF(選手!B10="","",選手!B10)</f>
        <v>豊明A</v>
      </c>
      <c r="AA11" s="165">
        <f>IF(選手!C10="","",選手!C10)</f>
        <v>9</v>
      </c>
      <c r="AB11" s="166" t="str">
        <f>IF(選手!D10="","",選手!D10)</f>
        <v>近藤 雄介</v>
      </c>
      <c r="AC11" s="165" t="str">
        <f>IF(選手!E10="","",選手!E10)</f>
        <v>男</v>
      </c>
      <c r="AD11" s="167">
        <f>記録!Q5</f>
        <v>3</v>
      </c>
      <c r="AE11" s="166">
        <f>記録!Q4</f>
        <v>3.1110000009999998</v>
      </c>
      <c r="AF11" s="166">
        <f>AG11+COUNTIF(AG3:AG11,AG11)-1</f>
        <v>33</v>
      </c>
      <c r="AG11" s="166">
        <f t="shared" si="16"/>
        <v>33</v>
      </c>
    </row>
    <row r="12" spans="2:33" x14ac:dyDescent="0.75">
      <c r="B12" s="144">
        <v>10</v>
      </c>
      <c r="C12" s="158">
        <f t="shared" si="0"/>
        <v>10</v>
      </c>
      <c r="D12" s="159" t="str">
        <f t="shared" si="1"/>
        <v>日進A</v>
      </c>
      <c r="E12" s="158">
        <f t="shared" si="2"/>
        <v>20</v>
      </c>
      <c r="F12" s="159" t="str">
        <f t="shared" si="3"/>
        <v>志手 俊二</v>
      </c>
      <c r="G12" s="158" t="str">
        <f t="shared" si="4"/>
        <v>男</v>
      </c>
      <c r="H12" s="160">
        <f t="shared" si="5"/>
        <v>5</v>
      </c>
      <c r="I12" s="161">
        <f t="shared" si="17"/>
        <v>12</v>
      </c>
      <c r="J12" s="161" t="str">
        <f t="shared" si="18"/>
        <v/>
      </c>
      <c r="L12" s="162">
        <f t="shared" si="19"/>
        <v>10</v>
      </c>
      <c r="M12" s="163" t="str">
        <f t="shared" si="6"/>
        <v>春日井A</v>
      </c>
      <c r="N12" s="162">
        <f t="shared" si="7"/>
        <v>1</v>
      </c>
      <c r="O12" s="164" t="str">
        <f t="shared" si="8"/>
        <v>峯 徹</v>
      </c>
      <c r="P12" s="160">
        <f t="shared" si="9"/>
        <v>5</v>
      </c>
      <c r="Q12" s="162">
        <f t="shared" si="10"/>
        <v>5.1011010109999999</v>
      </c>
      <c r="S12" s="162">
        <f t="shared" si="20"/>
        <v>10</v>
      </c>
      <c r="T12" s="163" t="str">
        <f t="shared" si="11"/>
        <v>日進B</v>
      </c>
      <c r="U12" s="162">
        <f t="shared" si="12"/>
        <v>21</v>
      </c>
      <c r="V12" s="164" t="str">
        <f t="shared" si="13"/>
        <v>後藤 徳子</v>
      </c>
      <c r="W12" s="160">
        <f t="shared" si="14"/>
        <v>4</v>
      </c>
      <c r="X12" s="162">
        <f t="shared" si="15"/>
        <v>4.1100101099999993</v>
      </c>
      <c r="Z12" s="165" t="str">
        <f>IF(選手!B11="","",選手!B11)</f>
        <v>豊明A</v>
      </c>
      <c r="AA12" s="165">
        <f>IF(選手!C11="","",選手!C11)</f>
        <v>10</v>
      </c>
      <c r="AB12" s="166" t="str">
        <f>IF(選手!D11="","",選手!D11)</f>
        <v>近藤 治</v>
      </c>
      <c r="AC12" s="165" t="str">
        <f>IF(選手!E11="","",選手!E11)</f>
        <v>男</v>
      </c>
      <c r="AD12" s="167">
        <f>記録!P5</f>
        <v>3</v>
      </c>
      <c r="AE12" s="166">
        <f>記録!P4</f>
        <v>3.1010100999999999</v>
      </c>
      <c r="AF12" s="166">
        <f>AG12+COUNTIF(AG3:AG12,AG12)-1</f>
        <v>39</v>
      </c>
      <c r="AG12" s="166">
        <f t="shared" si="16"/>
        <v>39</v>
      </c>
    </row>
    <row r="13" spans="2:33" x14ac:dyDescent="0.75">
      <c r="B13" s="144">
        <v>11</v>
      </c>
      <c r="C13" s="158">
        <f t="shared" si="0"/>
        <v>11</v>
      </c>
      <c r="D13" s="159" t="str">
        <f t="shared" si="1"/>
        <v>春日井B</v>
      </c>
      <c r="E13" s="158">
        <f t="shared" si="2"/>
        <v>7</v>
      </c>
      <c r="F13" s="159" t="str">
        <f t="shared" si="3"/>
        <v>片桐 志保</v>
      </c>
      <c r="G13" s="158" t="str">
        <f t="shared" si="4"/>
        <v>女</v>
      </c>
      <c r="H13" s="160">
        <f t="shared" si="5"/>
        <v>5</v>
      </c>
      <c r="I13" s="161" t="str">
        <f t="shared" si="17"/>
        <v/>
      </c>
      <c r="J13" s="161">
        <f t="shared" si="18"/>
        <v>13</v>
      </c>
      <c r="L13" s="162">
        <f t="shared" si="19"/>
        <v>11</v>
      </c>
      <c r="M13" s="163" t="str">
        <f t="shared" si="6"/>
        <v>愛知A</v>
      </c>
      <c r="N13" s="162">
        <f t="shared" si="7"/>
        <v>50</v>
      </c>
      <c r="O13" s="164" t="str">
        <f t="shared" si="8"/>
        <v>平野 良則</v>
      </c>
      <c r="P13" s="160">
        <f t="shared" si="9"/>
        <v>4</v>
      </c>
      <c r="Q13" s="162">
        <f t="shared" si="10"/>
        <v>4.1101010099999993</v>
      </c>
      <c r="S13" s="162">
        <f t="shared" si="20"/>
        <v>11</v>
      </c>
      <c r="T13" s="163" t="str">
        <f t="shared" si="11"/>
        <v>豊明B</v>
      </c>
      <c r="U13" s="162">
        <f t="shared" si="12"/>
        <v>13</v>
      </c>
      <c r="V13" s="164" t="str">
        <f t="shared" si="13"/>
        <v>堀井 恵美子</v>
      </c>
      <c r="W13" s="160">
        <f t="shared" si="14"/>
        <v>4</v>
      </c>
      <c r="X13" s="162">
        <f t="shared" si="15"/>
        <v>4.1100101009999994</v>
      </c>
      <c r="Z13" s="165" t="str">
        <f>IF(選手!B12="","",選手!B12)</f>
        <v>豊明A</v>
      </c>
      <c r="AA13" s="165">
        <f>IF(選手!C12="","",選手!C12)</f>
        <v>11</v>
      </c>
      <c r="AB13" s="166" t="str">
        <f>IF(選手!D12="","",選手!D12)</f>
        <v>外山 康彦</v>
      </c>
      <c r="AC13" s="165" t="str">
        <f>IF(選手!E12="","",選手!E12)</f>
        <v>男</v>
      </c>
      <c r="AD13" s="167">
        <f>記録!O5</f>
        <v>3</v>
      </c>
      <c r="AE13" s="166">
        <f>記録!O4</f>
        <v>3.1100010010000001</v>
      </c>
      <c r="AF13" s="166">
        <f>AG13+COUNTIF(AG3:AG13,AG13)-1</f>
        <v>36</v>
      </c>
      <c r="AG13" s="166">
        <f t="shared" si="16"/>
        <v>36</v>
      </c>
    </row>
    <row r="14" spans="2:33" x14ac:dyDescent="0.75">
      <c r="B14" s="144">
        <v>12</v>
      </c>
      <c r="C14" s="158">
        <f t="shared" si="0"/>
        <v>12</v>
      </c>
      <c r="D14" s="159" t="str">
        <f t="shared" si="1"/>
        <v>尾張旭A</v>
      </c>
      <c r="E14" s="158">
        <f t="shared" si="2"/>
        <v>33</v>
      </c>
      <c r="F14" s="159" t="str">
        <f t="shared" si="3"/>
        <v>西尾 雅司</v>
      </c>
      <c r="G14" s="158" t="str">
        <f t="shared" si="4"/>
        <v>男</v>
      </c>
      <c r="H14" s="160">
        <f t="shared" si="5"/>
        <v>5</v>
      </c>
      <c r="I14" s="161">
        <f t="shared" si="17"/>
        <v>14</v>
      </c>
      <c r="J14" s="161" t="str">
        <f t="shared" si="18"/>
        <v/>
      </c>
      <c r="L14" s="162">
        <f t="shared" si="19"/>
        <v>12</v>
      </c>
      <c r="M14" s="163" t="str">
        <f t="shared" si="6"/>
        <v>尾張旭A</v>
      </c>
      <c r="N14" s="162">
        <f t="shared" si="7"/>
        <v>35</v>
      </c>
      <c r="O14" s="164" t="str">
        <f t="shared" si="8"/>
        <v>大竹 誠</v>
      </c>
      <c r="P14" s="160">
        <f t="shared" si="9"/>
        <v>4</v>
      </c>
      <c r="Q14" s="162">
        <f t="shared" si="10"/>
        <v>4.1100101099999993</v>
      </c>
      <c r="S14" s="162">
        <f t="shared" si="20"/>
        <v>11</v>
      </c>
      <c r="T14" s="163" t="str">
        <f t="shared" si="11"/>
        <v>長久手B</v>
      </c>
      <c r="U14" s="162">
        <f t="shared" si="12"/>
        <v>30</v>
      </c>
      <c r="V14" s="164" t="str">
        <f t="shared" si="13"/>
        <v>上平 佳織</v>
      </c>
      <c r="W14" s="160">
        <f t="shared" si="14"/>
        <v>4</v>
      </c>
      <c r="X14" s="162">
        <f t="shared" si="15"/>
        <v>4.1100101009999994</v>
      </c>
      <c r="Z14" s="165" t="str">
        <f>IF(選手!B13="","",選手!B13)</f>
        <v>豊明A</v>
      </c>
      <c r="AA14" s="165">
        <f>IF(選手!C13="","",選手!C13)</f>
        <v>12</v>
      </c>
      <c r="AB14" s="166" t="str">
        <f>IF(選手!D13="","",選手!D13)</f>
        <v>榊原 隆一</v>
      </c>
      <c r="AC14" s="165" t="str">
        <f>IF(選手!E13="","",選手!E13)</f>
        <v>男</v>
      </c>
      <c r="AD14" s="167">
        <f>記録!N5</f>
        <v>3</v>
      </c>
      <c r="AE14" s="166">
        <f>記録!N4</f>
        <v>3.1001010010000005</v>
      </c>
      <c r="AF14" s="166">
        <f>AG14+COUNTIF(AG3:AG14,AG14)-1</f>
        <v>47</v>
      </c>
      <c r="AG14" s="166">
        <f t="shared" si="16"/>
        <v>47</v>
      </c>
    </row>
    <row r="15" spans="2:33" x14ac:dyDescent="0.75">
      <c r="B15" s="144">
        <v>13</v>
      </c>
      <c r="C15" s="158">
        <f t="shared" si="0"/>
        <v>13</v>
      </c>
      <c r="D15" s="159" t="str">
        <f t="shared" si="1"/>
        <v>愛知A</v>
      </c>
      <c r="E15" s="158">
        <f t="shared" si="2"/>
        <v>51</v>
      </c>
      <c r="F15" s="159" t="str">
        <f t="shared" si="3"/>
        <v>小沢 浩寿</v>
      </c>
      <c r="G15" s="158" t="str">
        <f t="shared" si="4"/>
        <v>男</v>
      </c>
      <c r="H15" s="160">
        <f t="shared" si="5"/>
        <v>5</v>
      </c>
      <c r="I15" s="161">
        <f t="shared" si="17"/>
        <v>15</v>
      </c>
      <c r="J15" s="161" t="str">
        <f t="shared" si="18"/>
        <v/>
      </c>
      <c r="L15" s="162">
        <f t="shared" si="19"/>
        <v>13</v>
      </c>
      <c r="M15" s="163" t="str">
        <f t="shared" si="6"/>
        <v>尾張旭A</v>
      </c>
      <c r="N15" s="162">
        <f t="shared" si="7"/>
        <v>34</v>
      </c>
      <c r="O15" s="164" t="str">
        <f t="shared" si="8"/>
        <v>角谷 昌紀</v>
      </c>
      <c r="P15" s="160">
        <f t="shared" si="9"/>
        <v>4</v>
      </c>
      <c r="Q15" s="162">
        <f t="shared" si="10"/>
        <v>4.1011010099999998</v>
      </c>
      <c r="S15" s="162">
        <f t="shared" si="20"/>
        <v>13</v>
      </c>
      <c r="T15" s="163" t="str">
        <f t="shared" si="11"/>
        <v>瀬戸B</v>
      </c>
      <c r="U15" s="162">
        <f t="shared" si="12"/>
        <v>58</v>
      </c>
      <c r="V15" s="164" t="str">
        <f t="shared" si="13"/>
        <v>加藤 節子</v>
      </c>
      <c r="W15" s="160">
        <f t="shared" si="14"/>
        <v>4</v>
      </c>
      <c r="X15" s="162">
        <f t="shared" si="15"/>
        <v>4.10110011</v>
      </c>
      <c r="Z15" s="165" t="str">
        <f>IF(選手!B14="","",選手!B14)</f>
        <v>豊明B</v>
      </c>
      <c r="AA15" s="165">
        <f>IF(選手!C14="","",選手!C14)</f>
        <v>13</v>
      </c>
      <c r="AB15" s="166" t="str">
        <f>IF(選手!D14="","",選手!D14)</f>
        <v>堀井 恵美子</v>
      </c>
      <c r="AC15" s="165" t="str">
        <f>IF(選手!E14="","",選手!E14)</f>
        <v>女</v>
      </c>
      <c r="AD15" s="167">
        <f>記録!M5</f>
        <v>4</v>
      </c>
      <c r="AE15" s="166">
        <f>記録!M4</f>
        <v>4.1100101009999994</v>
      </c>
      <c r="AF15" s="166">
        <f>AG15+COUNTIF(AG3:AG15,AG15)-1</f>
        <v>23</v>
      </c>
      <c r="AG15" s="166">
        <f t="shared" si="16"/>
        <v>23</v>
      </c>
    </row>
    <row r="16" spans="2:33" x14ac:dyDescent="0.75">
      <c r="B16" s="144">
        <v>14</v>
      </c>
      <c r="C16" s="158">
        <f t="shared" si="0"/>
        <v>14</v>
      </c>
      <c r="D16" s="159" t="str">
        <f t="shared" si="1"/>
        <v>豊明B</v>
      </c>
      <c r="E16" s="158">
        <f t="shared" si="2"/>
        <v>15</v>
      </c>
      <c r="F16" s="159" t="str">
        <f t="shared" si="3"/>
        <v>樋田 良子</v>
      </c>
      <c r="G16" s="158" t="str">
        <f t="shared" si="4"/>
        <v>女</v>
      </c>
      <c r="H16" s="160">
        <f t="shared" si="5"/>
        <v>5</v>
      </c>
      <c r="I16" s="161" t="str">
        <f t="shared" si="17"/>
        <v/>
      </c>
      <c r="J16" s="161">
        <f t="shared" si="18"/>
        <v>16</v>
      </c>
      <c r="L16" s="162">
        <f t="shared" si="19"/>
        <v>14</v>
      </c>
      <c r="M16" s="163" t="str">
        <f t="shared" si="6"/>
        <v>長久手A</v>
      </c>
      <c r="N16" s="162">
        <f t="shared" si="7"/>
        <v>28</v>
      </c>
      <c r="O16" s="164" t="str">
        <f t="shared" si="8"/>
        <v>芝田 典久</v>
      </c>
      <c r="P16" s="160">
        <f t="shared" si="9"/>
        <v>4</v>
      </c>
      <c r="Q16" s="162">
        <f t="shared" si="10"/>
        <v>4.10110011</v>
      </c>
      <c r="S16" s="162">
        <f t="shared" si="20"/>
        <v>14</v>
      </c>
      <c r="T16" s="163" t="str">
        <f t="shared" si="11"/>
        <v>春日井B</v>
      </c>
      <c r="U16" s="162">
        <f t="shared" si="12"/>
        <v>5</v>
      </c>
      <c r="V16" s="164" t="str">
        <f t="shared" si="13"/>
        <v>佃 弘美</v>
      </c>
      <c r="W16" s="160">
        <f t="shared" si="14"/>
        <v>4</v>
      </c>
      <c r="X16" s="162">
        <f t="shared" si="15"/>
        <v>4.1010101099999998</v>
      </c>
      <c r="Z16" s="165" t="str">
        <f>IF(選手!B15="","",選手!B15)</f>
        <v>豊明B</v>
      </c>
      <c r="AA16" s="165">
        <f>IF(選手!C15="","",選手!C15)</f>
        <v>14</v>
      </c>
      <c r="AB16" s="166" t="str">
        <f>IF(選手!D15="","",選手!D15)</f>
        <v>深見 裕子</v>
      </c>
      <c r="AC16" s="165" t="str">
        <f>IF(選手!E15="","",選手!E15)</f>
        <v>女</v>
      </c>
      <c r="AD16" s="167">
        <f>記録!L5</f>
        <v>3</v>
      </c>
      <c r="AE16" s="166">
        <f>記録!L4</f>
        <v>3.10101001</v>
      </c>
      <c r="AF16" s="166">
        <f>AG16+COUNTIF(AG3:AG16,AG16)-1</f>
        <v>42</v>
      </c>
      <c r="AG16" s="166">
        <f t="shared" si="16"/>
        <v>41</v>
      </c>
    </row>
    <row r="17" spans="2:33" x14ac:dyDescent="0.75">
      <c r="B17" s="144">
        <v>15</v>
      </c>
      <c r="C17" s="158">
        <f t="shared" si="0"/>
        <v>15</v>
      </c>
      <c r="D17" s="159" t="str">
        <f t="shared" si="1"/>
        <v>春日井A</v>
      </c>
      <c r="E17" s="158">
        <f t="shared" si="2"/>
        <v>1</v>
      </c>
      <c r="F17" s="159" t="str">
        <f t="shared" si="3"/>
        <v>峯 徹</v>
      </c>
      <c r="G17" s="158" t="str">
        <f t="shared" si="4"/>
        <v>男</v>
      </c>
      <c r="H17" s="160">
        <f t="shared" si="5"/>
        <v>5</v>
      </c>
      <c r="I17" s="161">
        <f t="shared" si="17"/>
        <v>17</v>
      </c>
      <c r="J17" s="161" t="str">
        <f t="shared" si="18"/>
        <v/>
      </c>
      <c r="L17" s="162">
        <f t="shared" si="19"/>
        <v>15</v>
      </c>
      <c r="M17" s="163" t="str">
        <f t="shared" si="6"/>
        <v>尾張旭A</v>
      </c>
      <c r="N17" s="162">
        <f t="shared" si="7"/>
        <v>36</v>
      </c>
      <c r="O17" s="164" t="str">
        <f t="shared" si="8"/>
        <v>山田 英治</v>
      </c>
      <c r="P17" s="160">
        <f t="shared" si="9"/>
        <v>4</v>
      </c>
      <c r="Q17" s="162">
        <f t="shared" si="10"/>
        <v>4.1011001010000001</v>
      </c>
      <c r="S17" s="162">
        <f t="shared" si="20"/>
        <v>15</v>
      </c>
      <c r="T17" s="163" t="str">
        <f t="shared" si="11"/>
        <v>尾張旭B</v>
      </c>
      <c r="U17" s="162">
        <f t="shared" si="12"/>
        <v>38</v>
      </c>
      <c r="V17" s="164" t="str">
        <f t="shared" si="13"/>
        <v>北川 裕希子</v>
      </c>
      <c r="W17" s="160">
        <f t="shared" si="14"/>
        <v>3</v>
      </c>
      <c r="X17" s="162">
        <f t="shared" si="15"/>
        <v>3.11010001</v>
      </c>
      <c r="Z17" s="165" t="str">
        <f>IF(選手!B16="","",選手!B16)</f>
        <v>豊明B</v>
      </c>
      <c r="AA17" s="165">
        <f>IF(選手!C16="","",選手!C16)</f>
        <v>15</v>
      </c>
      <c r="AB17" s="166" t="str">
        <f>IF(選手!D16="","",選手!D16)</f>
        <v>樋田 良子</v>
      </c>
      <c r="AC17" s="165" t="str">
        <f>IF(選手!E16="","",選手!E16)</f>
        <v>女</v>
      </c>
      <c r="AD17" s="167">
        <f>記録!K5</f>
        <v>5</v>
      </c>
      <c r="AE17" s="166">
        <f>記録!K4</f>
        <v>5.1011011010000002</v>
      </c>
      <c r="AF17" s="166">
        <f>AG17+COUNTIF(AG3:AG17,AG17)-1</f>
        <v>14</v>
      </c>
      <c r="AG17" s="166">
        <f t="shared" si="16"/>
        <v>14</v>
      </c>
    </row>
    <row r="18" spans="2:33" x14ac:dyDescent="0.75">
      <c r="B18" s="144">
        <v>16</v>
      </c>
      <c r="C18" s="158">
        <f t="shared" si="0"/>
        <v>16</v>
      </c>
      <c r="D18" s="159" t="str">
        <f t="shared" si="1"/>
        <v>西春日井B</v>
      </c>
      <c r="E18" s="158">
        <f t="shared" si="2"/>
        <v>45</v>
      </c>
      <c r="F18" s="159" t="str">
        <f t="shared" si="3"/>
        <v>村瀬 沙織</v>
      </c>
      <c r="G18" s="158" t="str">
        <f t="shared" si="4"/>
        <v>女</v>
      </c>
      <c r="H18" s="160">
        <f t="shared" si="5"/>
        <v>5</v>
      </c>
      <c r="I18" s="161" t="str">
        <f t="shared" si="17"/>
        <v/>
      </c>
      <c r="J18" s="161">
        <f t="shared" si="18"/>
        <v>18</v>
      </c>
      <c r="L18" s="162">
        <f t="shared" si="19"/>
        <v>16</v>
      </c>
      <c r="M18" s="163" t="str">
        <f t="shared" si="6"/>
        <v>愛知A</v>
      </c>
      <c r="N18" s="162">
        <f t="shared" si="7"/>
        <v>49</v>
      </c>
      <c r="O18" s="164" t="str">
        <f t="shared" si="8"/>
        <v>門矢 誠</v>
      </c>
      <c r="P18" s="160">
        <f t="shared" si="9"/>
        <v>4</v>
      </c>
      <c r="Q18" s="162">
        <f t="shared" si="10"/>
        <v>4.1010111</v>
      </c>
      <c r="S18" s="162">
        <f t="shared" si="20"/>
        <v>16</v>
      </c>
      <c r="T18" s="163" t="str">
        <f t="shared" si="11"/>
        <v>瀬戸B</v>
      </c>
      <c r="U18" s="162">
        <f t="shared" si="12"/>
        <v>57</v>
      </c>
      <c r="V18" s="164" t="str">
        <f t="shared" si="13"/>
        <v>谷口 弥生</v>
      </c>
      <c r="W18" s="160">
        <f t="shared" si="14"/>
        <v>3</v>
      </c>
      <c r="X18" s="162">
        <f t="shared" si="15"/>
        <v>3.1100010010000001</v>
      </c>
      <c r="Z18" s="165" t="str">
        <f>IF(選手!B17="","",選手!B17)</f>
        <v>豊明B</v>
      </c>
      <c r="AA18" s="165">
        <f>IF(選手!C17="","",選手!C17)</f>
        <v>16</v>
      </c>
      <c r="AB18" s="166" t="str">
        <f>IF(選手!D17="","",選手!D17)</f>
        <v>谷口 祥子</v>
      </c>
      <c r="AC18" s="165" t="str">
        <f>IF(選手!E17="","",選手!E17)</f>
        <v>女</v>
      </c>
      <c r="AD18" s="167">
        <f>記録!J5</f>
        <v>2</v>
      </c>
      <c r="AE18" s="166">
        <f>記録!J4</f>
        <v>2.1001000100000002</v>
      </c>
      <c r="AF18" s="166">
        <f>AG18+COUNTIF(AG3:AG18,AG18)-1</f>
        <v>57</v>
      </c>
      <c r="AG18" s="166">
        <f t="shared" si="16"/>
        <v>57</v>
      </c>
    </row>
    <row r="19" spans="2:33" x14ac:dyDescent="0.75">
      <c r="B19" s="144">
        <v>17</v>
      </c>
      <c r="C19" s="158">
        <f t="shared" si="0"/>
        <v>17</v>
      </c>
      <c r="D19" s="159" t="str">
        <f t="shared" si="1"/>
        <v>日進B</v>
      </c>
      <c r="E19" s="158">
        <f t="shared" si="2"/>
        <v>22</v>
      </c>
      <c r="F19" s="159" t="str">
        <f t="shared" si="3"/>
        <v>越後 奈緒美</v>
      </c>
      <c r="G19" s="158" t="str">
        <f t="shared" si="4"/>
        <v>女</v>
      </c>
      <c r="H19" s="160">
        <f t="shared" si="5"/>
        <v>4</v>
      </c>
      <c r="I19" s="161" t="str">
        <f t="shared" si="17"/>
        <v/>
      </c>
      <c r="J19" s="161">
        <f t="shared" si="18"/>
        <v>19</v>
      </c>
      <c r="L19" s="162">
        <f t="shared" si="19"/>
        <v>17</v>
      </c>
      <c r="M19" s="163" t="str">
        <f t="shared" si="6"/>
        <v>長久手A</v>
      </c>
      <c r="N19" s="162">
        <f t="shared" si="7"/>
        <v>26</v>
      </c>
      <c r="O19" s="164" t="str">
        <f t="shared" si="8"/>
        <v>松永 安太郎</v>
      </c>
      <c r="P19" s="160">
        <f t="shared" si="9"/>
        <v>4</v>
      </c>
      <c r="Q19" s="162">
        <f t="shared" si="10"/>
        <v>4.1010110099999997</v>
      </c>
      <c r="S19" s="162">
        <f t="shared" si="20"/>
        <v>17</v>
      </c>
      <c r="T19" s="163" t="str">
        <f t="shared" si="11"/>
        <v>西春日井B</v>
      </c>
      <c r="U19" s="162">
        <f t="shared" si="12"/>
        <v>46</v>
      </c>
      <c r="V19" s="164" t="str">
        <f t="shared" si="13"/>
        <v>中神 佐知子</v>
      </c>
      <c r="W19" s="160">
        <f t="shared" si="14"/>
        <v>3</v>
      </c>
      <c r="X19" s="162">
        <f t="shared" si="15"/>
        <v>3.1011000100000001</v>
      </c>
      <c r="Z19" s="165" t="str">
        <f>IF(選手!B18="","",選手!B18)</f>
        <v>日進A</v>
      </c>
      <c r="AA19" s="165">
        <f>IF(選手!C18="","",選手!C18)</f>
        <v>17</v>
      </c>
      <c r="AB19" s="166" t="str">
        <f>IF(選手!D18="","",選手!D18)</f>
        <v>新美 友治</v>
      </c>
      <c r="AC19" s="165" t="str">
        <f>IF(選手!E18="","",選手!E18)</f>
        <v>男</v>
      </c>
      <c r="AD19" s="167">
        <f>記録!I5</f>
        <v>4</v>
      </c>
      <c r="AE19" s="166">
        <f>記録!I4</f>
        <v>4.1001011009999999</v>
      </c>
      <c r="AF19" s="166">
        <f>AG19+COUNTIF(AG3:AG19,AG19)-1</f>
        <v>32</v>
      </c>
      <c r="AG19" s="166">
        <f t="shared" si="16"/>
        <v>32</v>
      </c>
    </row>
    <row r="20" spans="2:33" x14ac:dyDescent="0.75">
      <c r="B20" s="144">
        <v>18</v>
      </c>
      <c r="C20" s="158">
        <f t="shared" si="0"/>
        <v>18</v>
      </c>
      <c r="D20" s="159" t="str">
        <f t="shared" si="1"/>
        <v>愛知A</v>
      </c>
      <c r="E20" s="158">
        <f t="shared" si="2"/>
        <v>50</v>
      </c>
      <c r="F20" s="159" t="str">
        <f t="shared" si="3"/>
        <v>平野 良則</v>
      </c>
      <c r="G20" s="158" t="str">
        <f t="shared" si="4"/>
        <v>男</v>
      </c>
      <c r="H20" s="160">
        <f t="shared" si="5"/>
        <v>4</v>
      </c>
      <c r="I20" s="161">
        <f t="shared" si="17"/>
        <v>20</v>
      </c>
      <c r="J20" s="161" t="str">
        <f t="shared" si="18"/>
        <v/>
      </c>
      <c r="L20" s="162">
        <f t="shared" si="19"/>
        <v>18</v>
      </c>
      <c r="M20" s="163" t="str">
        <f t="shared" si="6"/>
        <v>日進A</v>
      </c>
      <c r="N20" s="162">
        <f t="shared" si="7"/>
        <v>17</v>
      </c>
      <c r="O20" s="164" t="str">
        <f t="shared" si="8"/>
        <v>新美 友治</v>
      </c>
      <c r="P20" s="160">
        <f t="shared" si="9"/>
        <v>4</v>
      </c>
      <c r="Q20" s="162">
        <f t="shared" si="10"/>
        <v>4.1001011009999999</v>
      </c>
      <c r="S20" s="162">
        <f t="shared" si="20"/>
        <v>18</v>
      </c>
      <c r="T20" s="163" t="str">
        <f t="shared" si="11"/>
        <v>尾張旭B</v>
      </c>
      <c r="U20" s="162">
        <f t="shared" si="12"/>
        <v>39</v>
      </c>
      <c r="V20" s="164" t="str">
        <f t="shared" si="13"/>
        <v>安達 初枝</v>
      </c>
      <c r="W20" s="160">
        <f t="shared" si="14"/>
        <v>3</v>
      </c>
      <c r="X20" s="162">
        <f t="shared" si="15"/>
        <v>3.1010100999999999</v>
      </c>
      <c r="Z20" s="165" t="str">
        <f>IF(選手!B19="","",選手!B19)</f>
        <v>日進A</v>
      </c>
      <c r="AA20" s="165">
        <f>IF(選手!C19="","",選手!C19)</f>
        <v>18</v>
      </c>
      <c r="AB20" s="166" t="str">
        <f>IF(選手!D19="","",選手!D19)</f>
        <v>笠井 大督</v>
      </c>
      <c r="AC20" s="165" t="str">
        <f>IF(選手!E19="","",選手!E19)</f>
        <v>男</v>
      </c>
      <c r="AD20" s="167">
        <f>記録!H5</f>
        <v>3</v>
      </c>
      <c r="AE20" s="166">
        <f>記録!H4</f>
        <v>3.1001010100000004</v>
      </c>
      <c r="AF20" s="166">
        <f>AG20+COUNTIF(AG3:AG20,AG20)-1</f>
        <v>46</v>
      </c>
      <c r="AG20" s="166">
        <f t="shared" si="16"/>
        <v>46</v>
      </c>
    </row>
    <row r="21" spans="2:33" x14ac:dyDescent="0.75">
      <c r="B21" s="144">
        <v>19</v>
      </c>
      <c r="C21" s="158">
        <f t="shared" si="0"/>
        <v>19</v>
      </c>
      <c r="D21" s="159" t="str">
        <f t="shared" si="1"/>
        <v>西春日井B</v>
      </c>
      <c r="E21" s="158">
        <f t="shared" si="2"/>
        <v>47</v>
      </c>
      <c r="F21" s="159" t="str">
        <f t="shared" si="3"/>
        <v>荒川 花子</v>
      </c>
      <c r="G21" s="158" t="str">
        <f t="shared" si="4"/>
        <v>女</v>
      </c>
      <c r="H21" s="160">
        <f t="shared" si="5"/>
        <v>4</v>
      </c>
      <c r="I21" s="161" t="str">
        <f t="shared" si="17"/>
        <v/>
      </c>
      <c r="J21" s="161">
        <f t="shared" si="18"/>
        <v>21</v>
      </c>
      <c r="L21" s="162">
        <f t="shared" si="19"/>
        <v>19</v>
      </c>
      <c r="M21" s="163" t="str">
        <f t="shared" si="6"/>
        <v>豊明A</v>
      </c>
      <c r="N21" s="162">
        <f t="shared" si="7"/>
        <v>9</v>
      </c>
      <c r="O21" s="164" t="str">
        <f t="shared" si="8"/>
        <v>近藤 雄介</v>
      </c>
      <c r="P21" s="160">
        <f t="shared" si="9"/>
        <v>3</v>
      </c>
      <c r="Q21" s="162">
        <f t="shared" si="10"/>
        <v>3.1110000009999998</v>
      </c>
      <c r="S21" s="162">
        <f t="shared" si="20"/>
        <v>19</v>
      </c>
      <c r="T21" s="163" t="str">
        <f t="shared" si="11"/>
        <v>豊明B</v>
      </c>
      <c r="U21" s="162">
        <f t="shared" si="12"/>
        <v>14</v>
      </c>
      <c r="V21" s="164" t="str">
        <f t="shared" si="13"/>
        <v>深見 裕子</v>
      </c>
      <c r="W21" s="160">
        <f t="shared" si="14"/>
        <v>3</v>
      </c>
      <c r="X21" s="162">
        <f t="shared" si="15"/>
        <v>3.10101001</v>
      </c>
      <c r="Z21" s="165" t="str">
        <f>IF(選手!B20="","",選手!B20)</f>
        <v>日進A</v>
      </c>
      <c r="AA21" s="165">
        <f>IF(選手!C20="","",選手!C20)</f>
        <v>19</v>
      </c>
      <c r="AB21" s="166" t="str">
        <f>IF(選手!D20="","",選手!D20)</f>
        <v>谷田 直樹</v>
      </c>
      <c r="AC21" s="165" t="str">
        <f>IF(選手!E20="","",選手!E20)</f>
        <v>男</v>
      </c>
      <c r="AD21" s="167">
        <f>記録!G5</f>
        <v>3</v>
      </c>
      <c r="AE21" s="166">
        <f>記録!G4</f>
        <v>3.110010001</v>
      </c>
      <c r="AF21" s="166">
        <f>AG21+COUNTIF(AG3:AG21,AG21)-1</f>
        <v>35</v>
      </c>
      <c r="AG21" s="166">
        <f t="shared" si="16"/>
        <v>35</v>
      </c>
    </row>
    <row r="22" spans="2:33" x14ac:dyDescent="0.75">
      <c r="B22" s="144">
        <v>20</v>
      </c>
      <c r="C22" s="158">
        <f t="shared" si="0"/>
        <v>20</v>
      </c>
      <c r="D22" s="159" t="str">
        <f t="shared" si="1"/>
        <v>春日井B</v>
      </c>
      <c r="E22" s="158">
        <f t="shared" si="2"/>
        <v>8</v>
      </c>
      <c r="F22" s="159" t="str">
        <f t="shared" si="3"/>
        <v>伊藤 洋子</v>
      </c>
      <c r="G22" s="158" t="str">
        <f t="shared" si="4"/>
        <v>女</v>
      </c>
      <c r="H22" s="160">
        <f t="shared" si="5"/>
        <v>4</v>
      </c>
      <c r="I22" s="161" t="str">
        <f t="shared" si="17"/>
        <v/>
      </c>
      <c r="J22" s="161">
        <f t="shared" si="18"/>
        <v>22</v>
      </c>
      <c r="L22" s="162">
        <f t="shared" si="19"/>
        <v>20</v>
      </c>
      <c r="M22" s="168" t="str">
        <f t="shared" si="6"/>
        <v>日進A</v>
      </c>
      <c r="N22" s="169">
        <f t="shared" si="7"/>
        <v>19</v>
      </c>
      <c r="O22" s="170" t="str">
        <f t="shared" si="8"/>
        <v>谷田 直樹</v>
      </c>
      <c r="P22" s="171">
        <f t="shared" si="9"/>
        <v>3</v>
      </c>
      <c r="Q22" s="162">
        <f t="shared" si="10"/>
        <v>3.110010001</v>
      </c>
      <c r="S22" s="162">
        <f t="shared" si="20"/>
        <v>19</v>
      </c>
      <c r="T22" s="168" t="str">
        <f t="shared" si="11"/>
        <v>長久手B</v>
      </c>
      <c r="U22" s="169">
        <f t="shared" si="12"/>
        <v>29</v>
      </c>
      <c r="V22" s="170" t="str">
        <f t="shared" si="13"/>
        <v>澤田 圭子</v>
      </c>
      <c r="W22" s="171">
        <f t="shared" si="14"/>
        <v>3</v>
      </c>
      <c r="X22" s="162">
        <f t="shared" si="15"/>
        <v>3.10101001</v>
      </c>
      <c r="Z22" s="165" t="str">
        <f>IF(選手!B21="","",選手!B21)</f>
        <v>日進A</v>
      </c>
      <c r="AA22" s="165">
        <f>IF(選手!C21="","",選手!C21)</f>
        <v>20</v>
      </c>
      <c r="AB22" s="166" t="str">
        <f>IF(選手!D21="","",選手!D21)</f>
        <v>志手 俊二</v>
      </c>
      <c r="AC22" s="165" t="str">
        <f>IF(選手!E21="","",選手!E21)</f>
        <v>男</v>
      </c>
      <c r="AD22" s="167">
        <f>記録!F5</f>
        <v>5</v>
      </c>
      <c r="AE22" s="166">
        <f>記録!F4</f>
        <v>5.1101011099999996</v>
      </c>
      <c r="AF22" s="166">
        <f>AG22+COUNTIF(AG3:AG22,AG22)-1</f>
        <v>10</v>
      </c>
      <c r="AG22" s="166">
        <f t="shared" si="16"/>
        <v>10</v>
      </c>
    </row>
    <row r="23" spans="2:33" x14ac:dyDescent="0.75">
      <c r="B23" s="144">
        <v>21</v>
      </c>
      <c r="C23" s="158">
        <f t="shared" si="0"/>
        <v>21</v>
      </c>
      <c r="D23" s="159" t="str">
        <f t="shared" si="1"/>
        <v>日進B</v>
      </c>
      <c r="E23" s="158">
        <f t="shared" si="2"/>
        <v>21</v>
      </c>
      <c r="F23" s="159" t="str">
        <f t="shared" si="3"/>
        <v>後藤 徳子</v>
      </c>
      <c r="G23" s="158" t="str">
        <f t="shared" si="4"/>
        <v>女</v>
      </c>
      <c r="H23" s="160">
        <f t="shared" si="5"/>
        <v>4</v>
      </c>
      <c r="I23" s="161" t="str">
        <f t="shared" si="17"/>
        <v/>
      </c>
      <c r="J23" s="161">
        <f t="shared" si="18"/>
        <v>23</v>
      </c>
      <c r="L23" s="162">
        <f t="shared" ref="L23:L66" si="21">IF(O23="","",_xlfn.RANK.EQ(Q23,Q:Q))</f>
        <v>21</v>
      </c>
      <c r="M23" s="168" t="str">
        <f t="shared" si="6"/>
        <v>豊明A</v>
      </c>
      <c r="N23" s="169">
        <f t="shared" si="7"/>
        <v>11</v>
      </c>
      <c r="O23" s="170" t="str">
        <f t="shared" si="8"/>
        <v>外山 康彦</v>
      </c>
      <c r="P23" s="171">
        <f t="shared" si="9"/>
        <v>3</v>
      </c>
      <c r="Q23" s="162">
        <f t="shared" ref="Q23:Q66" si="22">IF(O23="","",INDEX(AE:AE,MATCH(O23,AB:AB,0)))</f>
        <v>3.1100010010000001</v>
      </c>
      <c r="S23" s="162">
        <f t="shared" ref="S23:S66" si="23">IF(V23="","",_xlfn.RANK.EQ(X23,X:X))</f>
        <v>21</v>
      </c>
      <c r="T23" s="168" t="str">
        <f t="shared" si="11"/>
        <v>日進B</v>
      </c>
      <c r="U23" s="169">
        <f t="shared" si="12"/>
        <v>23</v>
      </c>
      <c r="V23" s="170" t="str">
        <f t="shared" si="13"/>
        <v>入江 美讃</v>
      </c>
      <c r="W23" s="171">
        <f t="shared" si="14"/>
        <v>3</v>
      </c>
      <c r="X23" s="162">
        <f t="shared" ref="X23:X66" si="24">IF(V23="","",INDEX(AE:AE,MATCH(V23,AB:AB,0)))</f>
        <v>3.101000011</v>
      </c>
      <c r="Z23" s="165" t="str">
        <f>IF(選手!B22="","",選手!B22)</f>
        <v>日進B</v>
      </c>
      <c r="AA23" s="165">
        <f>IF(選手!C22="","",選手!C22)</f>
        <v>21</v>
      </c>
      <c r="AB23" s="166" t="str">
        <f>IF(選手!D22="","",選手!D22)</f>
        <v>後藤 徳子</v>
      </c>
      <c r="AC23" s="165" t="str">
        <f>IF(選手!E22="","",選手!E22)</f>
        <v>女</v>
      </c>
      <c r="AD23" s="167">
        <f>記録!E5</f>
        <v>4</v>
      </c>
      <c r="AE23" s="166">
        <f>記録!E4</f>
        <v>4.1100101099999993</v>
      </c>
      <c r="AF23" s="166">
        <f>AG23+COUNTIF(AG3:AG23,AG23)-1</f>
        <v>21</v>
      </c>
      <c r="AG23" s="166">
        <f t="shared" si="16"/>
        <v>21</v>
      </c>
    </row>
    <row r="24" spans="2:33" x14ac:dyDescent="0.75">
      <c r="B24" s="144">
        <v>22</v>
      </c>
      <c r="C24" s="158">
        <f t="shared" si="0"/>
        <v>21</v>
      </c>
      <c r="D24" s="159" t="str">
        <f t="shared" si="1"/>
        <v>尾張旭A</v>
      </c>
      <c r="E24" s="158">
        <f t="shared" si="2"/>
        <v>35</v>
      </c>
      <c r="F24" s="159" t="str">
        <f t="shared" si="3"/>
        <v>大竹 誠</v>
      </c>
      <c r="G24" s="158" t="str">
        <f t="shared" si="4"/>
        <v>男</v>
      </c>
      <c r="H24" s="160">
        <f t="shared" si="5"/>
        <v>4</v>
      </c>
      <c r="I24" s="161">
        <f t="shared" si="17"/>
        <v>24</v>
      </c>
      <c r="J24" s="161" t="str">
        <f t="shared" si="18"/>
        <v/>
      </c>
      <c r="L24" s="162">
        <f t="shared" si="21"/>
        <v>22</v>
      </c>
      <c r="M24" s="168" t="str">
        <f t="shared" si="6"/>
        <v>豊明A</v>
      </c>
      <c r="N24" s="169">
        <f t="shared" si="7"/>
        <v>10</v>
      </c>
      <c r="O24" s="170" t="str">
        <f t="shared" si="8"/>
        <v>近藤 治</v>
      </c>
      <c r="P24" s="171">
        <f t="shared" si="9"/>
        <v>3</v>
      </c>
      <c r="Q24" s="162">
        <f t="shared" si="22"/>
        <v>3.1010100999999999</v>
      </c>
      <c r="S24" s="162">
        <f t="shared" si="23"/>
        <v>22</v>
      </c>
      <c r="T24" s="168" t="str">
        <f t="shared" si="11"/>
        <v>瀬戸B</v>
      </c>
      <c r="U24" s="169">
        <f t="shared" si="12"/>
        <v>60</v>
      </c>
      <c r="V24" s="170" t="str">
        <f t="shared" si="13"/>
        <v>原 由美子</v>
      </c>
      <c r="W24" s="171">
        <f t="shared" si="14"/>
        <v>3</v>
      </c>
      <c r="X24" s="162">
        <f t="shared" si="24"/>
        <v>3.1001010010000005</v>
      </c>
      <c r="Z24" s="165" t="str">
        <f>IF(選手!B23="","",選手!B23)</f>
        <v>日進B</v>
      </c>
      <c r="AA24" s="165">
        <f>IF(選手!C23="","",選手!C23)</f>
        <v>22</v>
      </c>
      <c r="AB24" s="166" t="str">
        <f>IF(選手!D23="","",選手!D23)</f>
        <v>越後 奈緒美</v>
      </c>
      <c r="AC24" s="165" t="str">
        <f>IF(選手!E23="","",選手!E23)</f>
        <v>女</v>
      </c>
      <c r="AD24" s="167">
        <f>記録!D5</f>
        <v>4</v>
      </c>
      <c r="AE24" s="166">
        <f>記録!D4</f>
        <v>4.1101010999999996</v>
      </c>
      <c r="AF24" s="166">
        <f>AG24+COUNTIF(AG3:AG24,AG24)-1</f>
        <v>17</v>
      </c>
      <c r="AG24" s="166">
        <f t="shared" si="16"/>
        <v>17</v>
      </c>
    </row>
    <row r="25" spans="2:33" x14ac:dyDescent="0.75">
      <c r="B25" s="144">
        <v>23</v>
      </c>
      <c r="C25" s="158">
        <f t="shared" si="0"/>
        <v>23</v>
      </c>
      <c r="D25" s="159" t="str">
        <f t="shared" si="1"/>
        <v>豊明B</v>
      </c>
      <c r="E25" s="158">
        <f t="shared" si="2"/>
        <v>13</v>
      </c>
      <c r="F25" s="159" t="str">
        <f t="shared" si="3"/>
        <v>堀井 恵美子</v>
      </c>
      <c r="G25" s="158" t="str">
        <f t="shared" si="4"/>
        <v>女</v>
      </c>
      <c r="H25" s="160">
        <f t="shared" si="5"/>
        <v>4</v>
      </c>
      <c r="I25" s="161" t="str">
        <f t="shared" si="17"/>
        <v/>
      </c>
      <c r="J25" s="161">
        <f t="shared" si="18"/>
        <v>25</v>
      </c>
      <c r="L25" s="162">
        <f t="shared" si="21"/>
        <v>23</v>
      </c>
      <c r="M25" s="168" t="str">
        <f t="shared" si="6"/>
        <v>春日井A</v>
      </c>
      <c r="N25" s="169">
        <f t="shared" si="7"/>
        <v>3</v>
      </c>
      <c r="O25" s="170" t="str">
        <f t="shared" si="8"/>
        <v>大嶋 啓嗣</v>
      </c>
      <c r="P25" s="171">
        <f t="shared" si="9"/>
        <v>3</v>
      </c>
      <c r="Q25" s="162">
        <f t="shared" si="22"/>
        <v>3.10101001</v>
      </c>
      <c r="S25" s="162">
        <f t="shared" si="23"/>
        <v>23</v>
      </c>
      <c r="T25" s="168" t="str">
        <f t="shared" si="11"/>
        <v>尾張旭B</v>
      </c>
      <c r="U25" s="169">
        <f t="shared" si="12"/>
        <v>40</v>
      </c>
      <c r="V25" s="170" t="str">
        <f t="shared" si="13"/>
        <v>加藤 康子</v>
      </c>
      <c r="W25" s="171">
        <f t="shared" si="14"/>
        <v>2</v>
      </c>
      <c r="X25" s="162">
        <f t="shared" si="24"/>
        <v>2.1100100099999999</v>
      </c>
      <c r="Z25" s="165" t="str">
        <f>IF(選手!B24="","",選手!B24)</f>
        <v>日進B</v>
      </c>
      <c r="AA25" s="165">
        <f>IF(選手!C24="","",選手!C24)</f>
        <v>23</v>
      </c>
      <c r="AB25" s="166" t="str">
        <f>IF(選手!D24="","",選手!D24)</f>
        <v>入江 美讃</v>
      </c>
      <c r="AC25" s="165" t="str">
        <f>IF(選手!E24="","",選手!E24)</f>
        <v>女</v>
      </c>
      <c r="AD25" s="167">
        <f>記録!C5</f>
        <v>3</v>
      </c>
      <c r="AE25" s="166">
        <f>記録!C4</f>
        <v>3.101000011</v>
      </c>
      <c r="AF25" s="166">
        <f>AG25+COUNTIF(AG3:AG25,AG25)-1</f>
        <v>45</v>
      </c>
      <c r="AG25" s="166">
        <f t="shared" si="16"/>
        <v>45</v>
      </c>
    </row>
    <row r="26" spans="2:33" x14ac:dyDescent="0.75">
      <c r="B26" s="144">
        <v>24</v>
      </c>
      <c r="C26" s="158">
        <f t="shared" si="0"/>
        <v>23</v>
      </c>
      <c r="D26" s="159" t="str">
        <f t="shared" si="1"/>
        <v>長久手B</v>
      </c>
      <c r="E26" s="158">
        <f t="shared" si="2"/>
        <v>30</v>
      </c>
      <c r="F26" s="159" t="str">
        <f t="shared" si="3"/>
        <v>上平 佳織</v>
      </c>
      <c r="G26" s="158" t="str">
        <f t="shared" si="4"/>
        <v>女</v>
      </c>
      <c r="H26" s="160">
        <f t="shared" si="5"/>
        <v>4</v>
      </c>
      <c r="I26" s="161" t="str">
        <f t="shared" si="17"/>
        <v/>
      </c>
      <c r="J26" s="161">
        <f t="shared" si="18"/>
        <v>26</v>
      </c>
      <c r="L26" s="162">
        <f t="shared" si="21"/>
        <v>23</v>
      </c>
      <c r="M26" s="168" t="str">
        <f t="shared" si="6"/>
        <v>瀬戸A</v>
      </c>
      <c r="N26" s="169">
        <f t="shared" si="7"/>
        <v>55</v>
      </c>
      <c r="O26" s="170" t="str">
        <f t="shared" si="8"/>
        <v>加藤 広史</v>
      </c>
      <c r="P26" s="171">
        <f t="shared" si="9"/>
        <v>3</v>
      </c>
      <c r="Q26" s="162">
        <f t="shared" si="22"/>
        <v>3.10101001</v>
      </c>
      <c r="S26" s="162">
        <f t="shared" si="23"/>
        <v>24</v>
      </c>
      <c r="T26" s="168" t="str">
        <f t="shared" si="11"/>
        <v>尾張旭B</v>
      </c>
      <c r="U26" s="169">
        <f t="shared" si="12"/>
        <v>37</v>
      </c>
      <c r="V26" s="170" t="str">
        <f t="shared" si="13"/>
        <v>田中 沙紀子</v>
      </c>
      <c r="W26" s="171">
        <f t="shared" si="14"/>
        <v>2</v>
      </c>
      <c r="X26" s="162">
        <f t="shared" si="24"/>
        <v>2.1011000000000002</v>
      </c>
      <c r="Z26" s="165" t="str">
        <f>IF(選手!B25="","",選手!B25)</f>
        <v>日進B</v>
      </c>
      <c r="AA26" s="165">
        <f>IF(選手!C25="","",選手!C25)</f>
        <v>24</v>
      </c>
      <c r="AB26" s="166" t="str">
        <f>IF(選手!D25="","",選手!D25)</f>
        <v>谷口 洋子</v>
      </c>
      <c r="AC26" s="165" t="str">
        <f>IF(選手!E25="","",選手!E25)</f>
        <v>女</v>
      </c>
      <c r="AD26" s="167">
        <f>記録!B5</f>
        <v>6</v>
      </c>
      <c r="AE26" s="166">
        <f>記録!B4</f>
        <v>6.1011110109999995</v>
      </c>
      <c r="AF26" s="166">
        <f>AG26+COUNTIF(AG3:AG26,AG26)-1</f>
        <v>6</v>
      </c>
      <c r="AG26" s="166">
        <f t="shared" si="16"/>
        <v>6</v>
      </c>
    </row>
    <row r="27" spans="2:33" x14ac:dyDescent="0.75">
      <c r="B27" s="144">
        <v>25</v>
      </c>
      <c r="C27" s="158">
        <f t="shared" si="0"/>
        <v>25</v>
      </c>
      <c r="D27" s="159" t="str">
        <f t="shared" si="1"/>
        <v>尾張旭A</v>
      </c>
      <c r="E27" s="158">
        <f t="shared" si="2"/>
        <v>34</v>
      </c>
      <c r="F27" s="159" t="str">
        <f t="shared" si="3"/>
        <v>角谷 昌紀</v>
      </c>
      <c r="G27" s="158" t="str">
        <f t="shared" si="4"/>
        <v>男</v>
      </c>
      <c r="H27" s="160">
        <f t="shared" si="5"/>
        <v>4</v>
      </c>
      <c r="I27" s="161">
        <f t="shared" si="17"/>
        <v>27</v>
      </c>
      <c r="J27" s="161" t="str">
        <f t="shared" si="18"/>
        <v/>
      </c>
      <c r="L27" s="162">
        <f t="shared" si="21"/>
        <v>25</v>
      </c>
      <c r="M27" s="168" t="str">
        <f t="shared" si="6"/>
        <v>日進A</v>
      </c>
      <c r="N27" s="169">
        <f t="shared" si="7"/>
        <v>18</v>
      </c>
      <c r="O27" s="170" t="str">
        <f t="shared" si="8"/>
        <v>笠井 大督</v>
      </c>
      <c r="P27" s="171">
        <f t="shared" si="9"/>
        <v>3</v>
      </c>
      <c r="Q27" s="162">
        <f t="shared" si="22"/>
        <v>3.1001010100000004</v>
      </c>
      <c r="S27" s="162">
        <f t="shared" si="23"/>
        <v>25</v>
      </c>
      <c r="T27" s="168" t="str">
        <f t="shared" si="11"/>
        <v>長久手B</v>
      </c>
      <c r="U27" s="169">
        <f t="shared" si="12"/>
        <v>31</v>
      </c>
      <c r="V27" s="170" t="str">
        <f t="shared" si="13"/>
        <v>水野 三穂</v>
      </c>
      <c r="W27" s="171">
        <f t="shared" si="14"/>
        <v>2</v>
      </c>
      <c r="X27" s="162">
        <f t="shared" si="24"/>
        <v>2.1001010000000004</v>
      </c>
      <c r="Z27" s="165" t="str">
        <f>IF(選手!B26="","",選手!B26)</f>
        <v>長久手A</v>
      </c>
      <c r="AA27" s="165">
        <f>IF(選手!C26="","",選手!C26)</f>
        <v>25</v>
      </c>
      <c r="AB27" s="166" t="str">
        <f>IF(選手!D26="","",選手!D26)</f>
        <v>葛西 裕文</v>
      </c>
      <c r="AC27" s="165" t="str">
        <f>IF(選手!E26="","",選手!E26)</f>
        <v>男</v>
      </c>
      <c r="AD27" s="167">
        <f>記録!Y23</f>
        <v>5</v>
      </c>
      <c r="AE27" s="166">
        <f>記録!Y22</f>
        <v>5.1101100109999988</v>
      </c>
      <c r="AF27" s="166">
        <f>AG27+COUNTIF(AG3:AG27,AG27)-1</f>
        <v>9</v>
      </c>
      <c r="AG27" s="166">
        <f t="shared" si="16"/>
        <v>9</v>
      </c>
    </row>
    <row r="28" spans="2:33" x14ac:dyDescent="0.75">
      <c r="B28" s="144">
        <v>26</v>
      </c>
      <c r="C28" s="158">
        <f t="shared" si="0"/>
        <v>26</v>
      </c>
      <c r="D28" s="159" t="str">
        <f t="shared" si="1"/>
        <v>長久手A</v>
      </c>
      <c r="E28" s="158">
        <f t="shared" si="2"/>
        <v>28</v>
      </c>
      <c r="F28" s="159" t="str">
        <f t="shared" si="3"/>
        <v>芝田 典久</v>
      </c>
      <c r="G28" s="158" t="str">
        <f t="shared" si="4"/>
        <v>男</v>
      </c>
      <c r="H28" s="160">
        <f t="shared" si="5"/>
        <v>4</v>
      </c>
      <c r="I28" s="161">
        <f t="shared" si="17"/>
        <v>28</v>
      </c>
      <c r="J28" s="161" t="str">
        <f t="shared" si="18"/>
        <v/>
      </c>
      <c r="L28" s="162">
        <f t="shared" si="21"/>
        <v>26</v>
      </c>
      <c r="M28" s="168" t="str">
        <f t="shared" si="6"/>
        <v>豊明A</v>
      </c>
      <c r="N28" s="169">
        <f t="shared" si="7"/>
        <v>12</v>
      </c>
      <c r="O28" s="170" t="str">
        <f t="shared" si="8"/>
        <v>榊原 隆一</v>
      </c>
      <c r="P28" s="171">
        <f t="shared" si="9"/>
        <v>3</v>
      </c>
      <c r="Q28" s="162">
        <f t="shared" si="22"/>
        <v>3.1001010010000005</v>
      </c>
      <c r="S28" s="162">
        <f t="shared" si="23"/>
        <v>26</v>
      </c>
      <c r="T28" s="168" t="str">
        <f t="shared" si="11"/>
        <v>春日井B</v>
      </c>
      <c r="U28" s="169">
        <f t="shared" si="12"/>
        <v>6</v>
      </c>
      <c r="V28" s="170" t="str">
        <f t="shared" si="13"/>
        <v>渡會 あすか</v>
      </c>
      <c r="W28" s="171">
        <f t="shared" si="14"/>
        <v>2</v>
      </c>
      <c r="X28" s="162">
        <f t="shared" si="24"/>
        <v>2.1001001000000001</v>
      </c>
      <c r="Z28" s="165" t="str">
        <f>IF(選手!B27="","",選手!B27)</f>
        <v>長久手A</v>
      </c>
      <c r="AA28" s="165">
        <f>IF(選手!C27="","",選手!C27)</f>
        <v>26</v>
      </c>
      <c r="AB28" s="166" t="str">
        <f>IF(選手!D27="","",選手!D27)</f>
        <v>松永 安太郎</v>
      </c>
      <c r="AC28" s="165" t="str">
        <f>IF(選手!E27="","",選手!E27)</f>
        <v>男</v>
      </c>
      <c r="AD28" s="167">
        <f>記録!X23</f>
        <v>4</v>
      </c>
      <c r="AE28" s="166">
        <f>記録!X22</f>
        <v>4.1010110099999997</v>
      </c>
      <c r="AF28" s="166">
        <f>AG28+COUNTIF(AG3:AG28,AG28)-1</f>
        <v>30</v>
      </c>
      <c r="AG28" s="166">
        <f t="shared" si="16"/>
        <v>30</v>
      </c>
    </row>
    <row r="29" spans="2:33" x14ac:dyDescent="0.75">
      <c r="B29" s="144">
        <v>27</v>
      </c>
      <c r="C29" s="158">
        <f t="shared" si="0"/>
        <v>26</v>
      </c>
      <c r="D29" s="159" t="str">
        <f t="shared" si="1"/>
        <v>瀬戸B</v>
      </c>
      <c r="E29" s="158">
        <f t="shared" si="2"/>
        <v>58</v>
      </c>
      <c r="F29" s="159" t="str">
        <f t="shared" si="3"/>
        <v>加藤 節子</v>
      </c>
      <c r="G29" s="158" t="str">
        <f t="shared" si="4"/>
        <v>女</v>
      </c>
      <c r="H29" s="160">
        <f t="shared" si="5"/>
        <v>4</v>
      </c>
      <c r="I29" s="161" t="str">
        <f t="shared" si="17"/>
        <v/>
      </c>
      <c r="J29" s="161">
        <f t="shared" si="18"/>
        <v>29</v>
      </c>
      <c r="L29" s="162">
        <f t="shared" si="21"/>
        <v>27</v>
      </c>
      <c r="M29" s="168" t="str">
        <f t="shared" si="6"/>
        <v>瀬戸A</v>
      </c>
      <c r="N29" s="169">
        <f t="shared" si="7"/>
        <v>56</v>
      </c>
      <c r="O29" s="170" t="str">
        <f t="shared" si="8"/>
        <v>長江 辰彦</v>
      </c>
      <c r="P29" s="171">
        <f t="shared" si="9"/>
        <v>3</v>
      </c>
      <c r="Q29" s="162">
        <f t="shared" si="22"/>
        <v>3.1001001010000002</v>
      </c>
      <c r="S29" s="162">
        <f t="shared" si="23"/>
        <v>27</v>
      </c>
      <c r="T29" s="168" t="str">
        <f t="shared" si="11"/>
        <v>豊明B</v>
      </c>
      <c r="U29" s="169">
        <f t="shared" si="12"/>
        <v>16</v>
      </c>
      <c r="V29" s="170" t="str">
        <f t="shared" si="13"/>
        <v>谷口 祥子</v>
      </c>
      <c r="W29" s="171">
        <f t="shared" si="14"/>
        <v>2</v>
      </c>
      <c r="X29" s="162">
        <f t="shared" si="24"/>
        <v>2.1001000100000002</v>
      </c>
      <c r="Z29" s="165" t="str">
        <f>IF(選手!B28="","",選手!B28)</f>
        <v>長久手A</v>
      </c>
      <c r="AA29" s="165">
        <f>IF(選手!C28="","",選手!C28)</f>
        <v>27</v>
      </c>
      <c r="AB29" s="166" t="str">
        <f>IF(選手!D28="","",選手!D28)</f>
        <v>山本 三郎</v>
      </c>
      <c r="AC29" s="165" t="str">
        <f>IF(選手!E28="","",選手!E28)</f>
        <v>男</v>
      </c>
      <c r="AD29" s="167">
        <f>記録!W23</f>
        <v>7</v>
      </c>
      <c r="AE29" s="166">
        <f>記録!W22</f>
        <v>7.1101111109999993</v>
      </c>
      <c r="AF29" s="166">
        <f>AG29+COUNTIF(AG3:AG29,AG29)-1</f>
        <v>2</v>
      </c>
      <c r="AG29" s="166">
        <f t="shared" si="16"/>
        <v>2</v>
      </c>
    </row>
    <row r="30" spans="2:33" x14ac:dyDescent="0.75">
      <c r="B30" s="144">
        <v>28</v>
      </c>
      <c r="C30" s="158">
        <f t="shared" si="0"/>
        <v>28</v>
      </c>
      <c r="D30" s="159" t="str">
        <f t="shared" si="1"/>
        <v>尾張旭A</v>
      </c>
      <c r="E30" s="158">
        <f t="shared" si="2"/>
        <v>36</v>
      </c>
      <c r="F30" s="159" t="str">
        <f t="shared" si="3"/>
        <v>山田 英治</v>
      </c>
      <c r="G30" s="158" t="str">
        <f t="shared" si="4"/>
        <v>男</v>
      </c>
      <c r="H30" s="160">
        <f t="shared" si="5"/>
        <v>4</v>
      </c>
      <c r="I30" s="161">
        <f t="shared" si="17"/>
        <v>30</v>
      </c>
      <c r="J30" s="161" t="str">
        <f t="shared" si="18"/>
        <v/>
      </c>
      <c r="L30" s="162">
        <f t="shared" si="21"/>
        <v>28</v>
      </c>
      <c r="M30" s="168" t="str">
        <f t="shared" si="6"/>
        <v>瀬戸A</v>
      </c>
      <c r="N30" s="169">
        <f t="shared" si="7"/>
        <v>53</v>
      </c>
      <c r="O30" s="170" t="str">
        <f t="shared" si="8"/>
        <v>矢島 悟朗</v>
      </c>
      <c r="P30" s="171">
        <f t="shared" si="9"/>
        <v>2</v>
      </c>
      <c r="Q30" s="162">
        <f t="shared" si="22"/>
        <v>2.110000001</v>
      </c>
      <c r="S30" s="162">
        <f t="shared" si="23"/>
        <v>28</v>
      </c>
      <c r="T30" s="168" t="str">
        <f t="shared" si="11"/>
        <v>西春日井B</v>
      </c>
      <c r="U30" s="169">
        <f t="shared" si="12"/>
        <v>48</v>
      </c>
      <c r="V30" s="170" t="str">
        <f t="shared" si="13"/>
        <v>白井 千鶴子</v>
      </c>
      <c r="W30" s="171">
        <f t="shared" si="14"/>
        <v>1</v>
      </c>
      <c r="X30" s="162">
        <f t="shared" si="24"/>
        <v>1.10000001</v>
      </c>
      <c r="Z30" s="165" t="str">
        <f>IF(選手!B29="","",選手!B29)</f>
        <v>長久手A</v>
      </c>
      <c r="AA30" s="165">
        <f>IF(選手!C29="","",選手!C29)</f>
        <v>28</v>
      </c>
      <c r="AB30" s="166" t="str">
        <f>IF(選手!D29="","",選手!D29)</f>
        <v>芝田 典久</v>
      </c>
      <c r="AC30" s="165" t="str">
        <f>IF(選手!E29="","",選手!E29)</f>
        <v>男</v>
      </c>
      <c r="AD30" s="167">
        <f>記録!V23</f>
        <v>4</v>
      </c>
      <c r="AE30" s="166">
        <f>記録!V22</f>
        <v>4.10110011</v>
      </c>
      <c r="AF30" s="166">
        <f>AG30+COUNTIF(AG3:AG30,AG30)-1</f>
        <v>26</v>
      </c>
      <c r="AG30" s="166">
        <f t="shared" si="16"/>
        <v>26</v>
      </c>
    </row>
    <row r="31" spans="2:33" x14ac:dyDescent="0.75">
      <c r="B31" s="144">
        <v>29</v>
      </c>
      <c r="C31" s="158">
        <f t="shared" si="0"/>
        <v>29</v>
      </c>
      <c r="D31" s="159" t="str">
        <f t="shared" si="1"/>
        <v>愛知A</v>
      </c>
      <c r="E31" s="158">
        <f t="shared" si="2"/>
        <v>49</v>
      </c>
      <c r="F31" s="159" t="str">
        <f t="shared" si="3"/>
        <v>門矢 誠</v>
      </c>
      <c r="G31" s="158" t="str">
        <f t="shared" si="4"/>
        <v>男</v>
      </c>
      <c r="H31" s="160">
        <f t="shared" si="5"/>
        <v>4</v>
      </c>
      <c r="I31" s="161">
        <f t="shared" si="17"/>
        <v>31</v>
      </c>
      <c r="J31" s="161" t="str">
        <f t="shared" si="18"/>
        <v/>
      </c>
      <c r="L31" s="162">
        <f t="shared" si="21"/>
        <v>29</v>
      </c>
      <c r="M31" s="168" t="str">
        <f t="shared" si="6"/>
        <v>西春日井A</v>
      </c>
      <c r="N31" s="169">
        <f t="shared" si="7"/>
        <v>42</v>
      </c>
      <c r="O31" s="170" t="str">
        <f t="shared" si="8"/>
        <v>杉原 伸哉</v>
      </c>
      <c r="P31" s="171">
        <f t="shared" si="9"/>
        <v>2</v>
      </c>
      <c r="Q31" s="162">
        <f t="shared" si="22"/>
        <v>2.1010000999999998</v>
      </c>
      <c r="S31" s="162" t="str">
        <f t="shared" si="23"/>
        <v/>
      </c>
      <c r="T31" s="168" t="str">
        <f t="shared" si="11"/>
        <v/>
      </c>
      <c r="U31" s="169" t="str">
        <f t="shared" si="12"/>
        <v/>
      </c>
      <c r="V31" s="170" t="str">
        <f t="shared" si="13"/>
        <v/>
      </c>
      <c r="W31" s="171" t="str">
        <f t="shared" si="14"/>
        <v/>
      </c>
      <c r="X31" s="162" t="str">
        <f t="shared" si="24"/>
        <v/>
      </c>
      <c r="Z31" s="165" t="str">
        <f>IF(選手!B30="","",選手!B30)</f>
        <v>長久手B</v>
      </c>
      <c r="AA31" s="165">
        <f>IF(選手!C30="","",選手!C30)</f>
        <v>29</v>
      </c>
      <c r="AB31" s="166" t="str">
        <f>IF(選手!D30="","",選手!D30)</f>
        <v>澤田 圭子</v>
      </c>
      <c r="AC31" s="165" t="str">
        <f>IF(選手!E30="","",選手!E30)</f>
        <v>女</v>
      </c>
      <c r="AD31" s="167">
        <f>記録!U23</f>
        <v>3</v>
      </c>
      <c r="AE31" s="166">
        <f>記録!U22</f>
        <v>3.10101001</v>
      </c>
      <c r="AF31" s="166">
        <f>AG31+COUNTIF(AG3:AG31,AG31)-1</f>
        <v>43</v>
      </c>
      <c r="AG31" s="166">
        <f t="shared" si="16"/>
        <v>41</v>
      </c>
    </row>
    <row r="32" spans="2:33" x14ac:dyDescent="0.75">
      <c r="B32" s="144">
        <v>30</v>
      </c>
      <c r="C32" s="158">
        <f t="shared" si="0"/>
        <v>30</v>
      </c>
      <c r="D32" s="159" t="str">
        <f t="shared" si="1"/>
        <v>長久手A</v>
      </c>
      <c r="E32" s="158">
        <f t="shared" si="2"/>
        <v>26</v>
      </c>
      <c r="F32" s="159" t="str">
        <f t="shared" si="3"/>
        <v>松永 安太郎</v>
      </c>
      <c r="G32" s="158" t="str">
        <f t="shared" si="4"/>
        <v>男</v>
      </c>
      <c r="H32" s="160">
        <f t="shared" si="5"/>
        <v>4</v>
      </c>
      <c r="I32" s="161">
        <f t="shared" si="17"/>
        <v>32</v>
      </c>
      <c r="J32" s="161" t="str">
        <f t="shared" si="18"/>
        <v/>
      </c>
      <c r="L32" s="162">
        <f t="shared" si="21"/>
        <v>30</v>
      </c>
      <c r="M32" s="168" t="str">
        <f t="shared" si="6"/>
        <v>西春日井A</v>
      </c>
      <c r="N32" s="169">
        <f t="shared" si="7"/>
        <v>43</v>
      </c>
      <c r="O32" s="170" t="str">
        <f t="shared" si="8"/>
        <v>大槻 成実</v>
      </c>
      <c r="P32" s="171">
        <f t="shared" si="9"/>
        <v>2</v>
      </c>
      <c r="Q32" s="162">
        <f t="shared" si="22"/>
        <v>2.1001001000000001</v>
      </c>
      <c r="S32" s="162" t="str">
        <f t="shared" si="23"/>
        <v/>
      </c>
      <c r="T32" s="168" t="str">
        <f t="shared" si="11"/>
        <v/>
      </c>
      <c r="U32" s="169" t="str">
        <f t="shared" si="12"/>
        <v/>
      </c>
      <c r="V32" s="170" t="str">
        <f t="shared" si="13"/>
        <v/>
      </c>
      <c r="W32" s="171" t="str">
        <f t="shared" si="14"/>
        <v/>
      </c>
      <c r="X32" s="162" t="str">
        <f t="shared" si="24"/>
        <v/>
      </c>
      <c r="Z32" s="165" t="str">
        <f>IF(選手!B31="","",選手!B31)</f>
        <v>長久手B</v>
      </c>
      <c r="AA32" s="165">
        <f>IF(選手!C31="","",選手!C31)</f>
        <v>30</v>
      </c>
      <c r="AB32" s="166" t="str">
        <f>IF(選手!D31="","",選手!D31)</f>
        <v>上平 佳織</v>
      </c>
      <c r="AC32" s="165" t="str">
        <f>IF(選手!E31="","",選手!E31)</f>
        <v>女</v>
      </c>
      <c r="AD32" s="167">
        <f>記録!T23</f>
        <v>4</v>
      </c>
      <c r="AE32" s="166">
        <f>記録!T22</f>
        <v>4.1100101009999994</v>
      </c>
      <c r="AF32" s="166">
        <f>AG32+COUNTIF(AG3:AG32,AG32)-1</f>
        <v>24</v>
      </c>
      <c r="AG32" s="166">
        <f t="shared" si="16"/>
        <v>23</v>
      </c>
    </row>
    <row r="33" spans="2:33" x14ac:dyDescent="0.75">
      <c r="B33" s="144">
        <v>31</v>
      </c>
      <c r="C33" s="158">
        <f t="shared" si="0"/>
        <v>31</v>
      </c>
      <c r="D33" s="159" t="str">
        <f t="shared" si="1"/>
        <v>春日井B</v>
      </c>
      <c r="E33" s="158">
        <f t="shared" si="2"/>
        <v>5</v>
      </c>
      <c r="F33" s="159" t="str">
        <f t="shared" si="3"/>
        <v>佃 弘美</v>
      </c>
      <c r="G33" s="158" t="str">
        <f t="shared" si="4"/>
        <v>女</v>
      </c>
      <c r="H33" s="160">
        <f t="shared" si="5"/>
        <v>4</v>
      </c>
      <c r="I33" s="161" t="str">
        <f t="shared" si="17"/>
        <v/>
      </c>
      <c r="J33" s="161">
        <f t="shared" si="18"/>
        <v>33</v>
      </c>
      <c r="L33" s="162">
        <f t="shared" si="21"/>
        <v>31</v>
      </c>
      <c r="M33" s="168" t="str">
        <f t="shared" si="6"/>
        <v>西春日井A</v>
      </c>
      <c r="N33" s="169">
        <f t="shared" si="7"/>
        <v>41</v>
      </c>
      <c r="O33" s="170" t="str">
        <f t="shared" si="8"/>
        <v>丹羽 泰生</v>
      </c>
      <c r="P33" s="171">
        <f t="shared" si="9"/>
        <v>2</v>
      </c>
      <c r="Q33" s="162">
        <f t="shared" si="22"/>
        <v>2.1001000010000004</v>
      </c>
      <c r="S33" s="162" t="str">
        <f t="shared" si="23"/>
        <v/>
      </c>
      <c r="T33" s="168" t="str">
        <f t="shared" si="11"/>
        <v/>
      </c>
      <c r="U33" s="169" t="str">
        <f t="shared" si="12"/>
        <v/>
      </c>
      <c r="V33" s="170" t="str">
        <f t="shared" si="13"/>
        <v/>
      </c>
      <c r="W33" s="171" t="str">
        <f t="shared" si="14"/>
        <v/>
      </c>
      <c r="X33" s="162" t="str">
        <f t="shared" si="24"/>
        <v/>
      </c>
      <c r="Z33" s="165" t="str">
        <f>IF(選手!B32="","",選手!B32)</f>
        <v>長久手B</v>
      </c>
      <c r="AA33" s="165">
        <f>IF(選手!C32="","",選手!C32)</f>
        <v>31</v>
      </c>
      <c r="AB33" s="166" t="str">
        <f>IF(選手!D32="","",選手!D32)</f>
        <v>水野 三穂</v>
      </c>
      <c r="AC33" s="165" t="str">
        <f>IF(選手!E32="","",選手!E32)</f>
        <v>女</v>
      </c>
      <c r="AD33" s="167">
        <f>記録!S23</f>
        <v>2</v>
      </c>
      <c r="AE33" s="166">
        <f>記録!S22</f>
        <v>2.1001010000000004</v>
      </c>
      <c r="AF33" s="166">
        <f>AG33+COUNTIF(AG3:AG33,AG33)-1</f>
        <v>54</v>
      </c>
      <c r="AG33" s="166">
        <f t="shared" si="16"/>
        <v>54</v>
      </c>
    </row>
    <row r="34" spans="2:33" x14ac:dyDescent="0.75">
      <c r="B34" s="144">
        <v>32</v>
      </c>
      <c r="C34" s="158">
        <f t="shared" si="0"/>
        <v>32</v>
      </c>
      <c r="D34" s="159" t="str">
        <f t="shared" si="1"/>
        <v>日進A</v>
      </c>
      <c r="E34" s="158">
        <f t="shared" si="2"/>
        <v>17</v>
      </c>
      <c r="F34" s="159" t="str">
        <f t="shared" si="3"/>
        <v>新美 友治</v>
      </c>
      <c r="G34" s="158" t="str">
        <f t="shared" si="4"/>
        <v>男</v>
      </c>
      <c r="H34" s="160">
        <f t="shared" si="5"/>
        <v>4</v>
      </c>
      <c r="I34" s="161">
        <f t="shared" si="17"/>
        <v>34</v>
      </c>
      <c r="J34" s="161" t="str">
        <f t="shared" si="18"/>
        <v/>
      </c>
      <c r="L34" s="162">
        <f t="shared" si="21"/>
        <v>32</v>
      </c>
      <c r="M34" s="168" t="str">
        <f t="shared" si="6"/>
        <v>西春日井A</v>
      </c>
      <c r="N34" s="169">
        <f t="shared" si="7"/>
        <v>44</v>
      </c>
      <c r="O34" s="170" t="str">
        <f t="shared" si="8"/>
        <v>加藤 忠人</v>
      </c>
      <c r="P34" s="171">
        <f t="shared" si="9"/>
        <v>1</v>
      </c>
      <c r="Q34" s="162">
        <f t="shared" si="22"/>
        <v>1.10000001</v>
      </c>
      <c r="S34" s="162" t="str">
        <f t="shared" si="23"/>
        <v/>
      </c>
      <c r="T34" s="168" t="str">
        <f t="shared" si="11"/>
        <v/>
      </c>
      <c r="U34" s="169" t="str">
        <f t="shared" si="12"/>
        <v/>
      </c>
      <c r="V34" s="170" t="str">
        <f t="shared" si="13"/>
        <v/>
      </c>
      <c r="W34" s="171" t="str">
        <f t="shared" si="14"/>
        <v/>
      </c>
      <c r="X34" s="162" t="str">
        <f t="shared" si="24"/>
        <v/>
      </c>
      <c r="Z34" s="165" t="str">
        <f>IF(選手!B33="","",選手!B33)</f>
        <v>長久手B</v>
      </c>
      <c r="AA34" s="165">
        <f>IF(選手!C33="","",選手!C33)</f>
        <v>32</v>
      </c>
      <c r="AB34" s="166" t="str">
        <f>IF(選手!D33="","",選手!D33)</f>
        <v>野々垣 奈緒子</v>
      </c>
      <c r="AC34" s="165" t="str">
        <f>IF(選手!E33="","",選手!E33)</f>
        <v>女</v>
      </c>
      <c r="AD34" s="167">
        <f>記録!R23</f>
        <v>7</v>
      </c>
      <c r="AE34" s="166">
        <f>記録!R22</f>
        <v>7.1011111109999998</v>
      </c>
      <c r="AF34" s="166">
        <f>AG34+COUNTIF(AG3:AG34,AG34)-1</f>
        <v>3</v>
      </c>
      <c r="AG34" s="166">
        <f t="shared" si="16"/>
        <v>3</v>
      </c>
    </row>
    <row r="35" spans="2:33" x14ac:dyDescent="0.75">
      <c r="B35" s="144">
        <v>33</v>
      </c>
      <c r="C35" s="158">
        <f t="shared" ref="C35:C66" si="25">SMALL(AG:AG, B35)</f>
        <v>33</v>
      </c>
      <c r="D35" s="159" t="str">
        <f t="shared" ref="D35:D66" si="26">INDEX(Z:Z,MATCH(B35,AF:AF,0))</f>
        <v>豊明A</v>
      </c>
      <c r="E35" s="158">
        <f t="shared" ref="E35:E66" si="27">INDEX(AA:AA,MATCH(B35,AF:AF,0))</f>
        <v>9</v>
      </c>
      <c r="F35" s="159" t="str">
        <f t="shared" ref="F35:F66" si="28">INDEX(AB:AB,MATCH(B35,AF:AF,0))</f>
        <v>近藤 雄介</v>
      </c>
      <c r="G35" s="158" t="str">
        <f t="shared" ref="G35:G66" si="29">INDEX(AC:AC,MATCH(B35,AF:AF,0))</f>
        <v>男</v>
      </c>
      <c r="H35" s="160">
        <f t="shared" si="5"/>
        <v>3</v>
      </c>
      <c r="I35" s="161">
        <f t="shared" si="17"/>
        <v>35</v>
      </c>
      <c r="J35" s="161" t="str">
        <f t="shared" si="18"/>
        <v/>
      </c>
      <c r="L35" s="162" t="str">
        <f t="shared" si="21"/>
        <v/>
      </c>
      <c r="M35" s="168" t="str">
        <f t="shared" ref="M35:M66" si="30">IF(O35="","",INDEX(D:D,MATCH(O35,F:F,0)))</f>
        <v/>
      </c>
      <c r="N35" s="169" t="str">
        <f t="shared" ref="N35:N66" si="31">IF(O35="","",INDEX(E:E,MATCH(O35,F:F,0)))</f>
        <v/>
      </c>
      <c r="O35" s="170" t="str">
        <f t="shared" ref="O35:O66" si="32">IF(COUNT(I:I)&lt;ROW(B33),"",INDEX(F:F,SMALL(I:I,ROW(B33))))</f>
        <v/>
      </c>
      <c r="P35" s="171" t="str">
        <f t="shared" ref="P35:P66" si="33">IF(O35="","",INDEX(H:H,MATCH(O35,F:F,0)))</f>
        <v/>
      </c>
      <c r="Q35" s="162" t="str">
        <f t="shared" si="22"/>
        <v/>
      </c>
      <c r="S35" s="162" t="str">
        <f t="shared" si="23"/>
        <v/>
      </c>
      <c r="T35" s="168" t="str">
        <f t="shared" ref="T35:T66" si="34">IF(V35="","",INDEX(D:D,MATCH(V35,F:F,0)))</f>
        <v/>
      </c>
      <c r="U35" s="169" t="str">
        <f t="shared" ref="U35:U66" si="35">IF(V35="","",INDEX(E:E,MATCH(V35,F:F,0)))</f>
        <v/>
      </c>
      <c r="V35" s="170" t="str">
        <f t="shared" ref="V35:V66" si="36">IF(COUNT(J:J)&lt;ROW(B33),"",INDEX(F:F,SMALL(J:J,ROW(B33))))</f>
        <v/>
      </c>
      <c r="W35" s="171" t="str">
        <f t="shared" ref="W35:W66" si="37">IF(V35="","",INDEX(H:H,MATCH(V35,F:F,0)))</f>
        <v/>
      </c>
      <c r="X35" s="162" t="str">
        <f t="shared" si="24"/>
        <v/>
      </c>
      <c r="Z35" s="165" t="str">
        <f>IF(選手!B34="","",選手!B34)</f>
        <v>尾張旭A</v>
      </c>
      <c r="AA35" s="165">
        <f>IF(選手!C34="","",選手!C34)</f>
        <v>33</v>
      </c>
      <c r="AB35" s="166" t="str">
        <f>IF(選手!D34="","",選手!D34)</f>
        <v>西尾 雅司</v>
      </c>
      <c r="AC35" s="165" t="str">
        <f>IF(選手!E34="","",選手!E34)</f>
        <v>男</v>
      </c>
      <c r="AD35" s="167">
        <f>記録!Q23</f>
        <v>5</v>
      </c>
      <c r="AE35" s="166">
        <f>記録!Q22</f>
        <v>5.1011110009999996</v>
      </c>
      <c r="AF35" s="166">
        <f>AG35+COUNTIF(AG3:AG35,AG35)-1</f>
        <v>12</v>
      </c>
      <c r="AG35" s="166">
        <f t="shared" ref="AG35:AG66" si="38">_xlfn.RANK.EQ(AE35,AE:AE)</f>
        <v>12</v>
      </c>
    </row>
    <row r="36" spans="2:33" x14ac:dyDescent="0.75">
      <c r="B36" s="144">
        <v>34</v>
      </c>
      <c r="C36" s="158">
        <f t="shared" si="25"/>
        <v>34</v>
      </c>
      <c r="D36" s="159" t="str">
        <f t="shared" si="26"/>
        <v>尾張旭B</v>
      </c>
      <c r="E36" s="158">
        <f t="shared" si="27"/>
        <v>38</v>
      </c>
      <c r="F36" s="159" t="str">
        <f t="shared" si="28"/>
        <v>北川 裕希子</v>
      </c>
      <c r="G36" s="158" t="str">
        <f t="shared" si="29"/>
        <v>女</v>
      </c>
      <c r="H36" s="160">
        <f t="shared" si="5"/>
        <v>3</v>
      </c>
      <c r="I36" s="161" t="str">
        <f t="shared" si="17"/>
        <v/>
      </c>
      <c r="J36" s="161">
        <f t="shared" si="18"/>
        <v>36</v>
      </c>
      <c r="L36" s="162" t="str">
        <f t="shared" si="21"/>
        <v/>
      </c>
      <c r="M36" s="168" t="str">
        <f t="shared" si="30"/>
        <v/>
      </c>
      <c r="N36" s="169" t="str">
        <f t="shared" si="31"/>
        <v/>
      </c>
      <c r="O36" s="170" t="str">
        <f t="shared" si="32"/>
        <v/>
      </c>
      <c r="P36" s="171" t="str">
        <f t="shared" si="33"/>
        <v/>
      </c>
      <c r="Q36" s="162" t="str">
        <f t="shared" si="22"/>
        <v/>
      </c>
      <c r="S36" s="162" t="str">
        <f t="shared" si="23"/>
        <v/>
      </c>
      <c r="T36" s="168" t="str">
        <f t="shared" si="34"/>
        <v/>
      </c>
      <c r="U36" s="169" t="str">
        <f t="shared" si="35"/>
        <v/>
      </c>
      <c r="V36" s="170" t="str">
        <f t="shared" si="36"/>
        <v/>
      </c>
      <c r="W36" s="171" t="str">
        <f t="shared" si="37"/>
        <v/>
      </c>
      <c r="X36" s="162" t="str">
        <f t="shared" si="24"/>
        <v/>
      </c>
      <c r="Z36" s="165" t="str">
        <f>IF(選手!B35="","",選手!B35)</f>
        <v>尾張旭A</v>
      </c>
      <c r="AA36" s="165">
        <f>IF(選手!C35="","",選手!C35)</f>
        <v>34</v>
      </c>
      <c r="AB36" s="166" t="str">
        <f>IF(選手!D35="","",選手!D35)</f>
        <v>角谷 昌紀</v>
      </c>
      <c r="AC36" s="165" t="str">
        <f>IF(選手!E35="","",選手!E35)</f>
        <v>男</v>
      </c>
      <c r="AD36" s="167">
        <f>記録!P23</f>
        <v>4</v>
      </c>
      <c r="AE36" s="166">
        <f>記録!P22</f>
        <v>4.1011010099999998</v>
      </c>
      <c r="AF36" s="166">
        <f>AG36+COUNTIF(AG3:AG36,AG36)-1</f>
        <v>25</v>
      </c>
      <c r="AG36" s="166">
        <f t="shared" si="38"/>
        <v>25</v>
      </c>
    </row>
    <row r="37" spans="2:33" x14ac:dyDescent="0.75">
      <c r="B37" s="144">
        <v>35</v>
      </c>
      <c r="C37" s="158">
        <f t="shared" si="25"/>
        <v>35</v>
      </c>
      <c r="D37" s="159" t="str">
        <f t="shared" si="26"/>
        <v>日進A</v>
      </c>
      <c r="E37" s="158">
        <f t="shared" si="27"/>
        <v>19</v>
      </c>
      <c r="F37" s="159" t="str">
        <f t="shared" si="28"/>
        <v>谷田 直樹</v>
      </c>
      <c r="G37" s="158" t="str">
        <f t="shared" si="29"/>
        <v>男</v>
      </c>
      <c r="H37" s="160">
        <f t="shared" si="5"/>
        <v>3</v>
      </c>
      <c r="I37" s="161">
        <f t="shared" si="17"/>
        <v>37</v>
      </c>
      <c r="J37" s="161" t="str">
        <f t="shared" si="18"/>
        <v/>
      </c>
      <c r="L37" s="162" t="str">
        <f t="shared" si="21"/>
        <v/>
      </c>
      <c r="M37" s="168" t="str">
        <f t="shared" si="30"/>
        <v/>
      </c>
      <c r="N37" s="169" t="str">
        <f t="shared" si="31"/>
        <v/>
      </c>
      <c r="O37" s="170" t="str">
        <f t="shared" si="32"/>
        <v/>
      </c>
      <c r="P37" s="171" t="str">
        <f t="shared" si="33"/>
        <v/>
      </c>
      <c r="Q37" s="162" t="str">
        <f t="shared" si="22"/>
        <v/>
      </c>
      <c r="S37" s="162" t="str">
        <f t="shared" si="23"/>
        <v/>
      </c>
      <c r="T37" s="168" t="str">
        <f t="shared" si="34"/>
        <v/>
      </c>
      <c r="U37" s="169" t="str">
        <f t="shared" si="35"/>
        <v/>
      </c>
      <c r="V37" s="170" t="str">
        <f t="shared" si="36"/>
        <v/>
      </c>
      <c r="W37" s="171" t="str">
        <f t="shared" si="37"/>
        <v/>
      </c>
      <c r="X37" s="162" t="str">
        <f t="shared" si="24"/>
        <v/>
      </c>
      <c r="Z37" s="165" t="str">
        <f>IF(選手!B36="","",選手!B36)</f>
        <v>尾張旭A</v>
      </c>
      <c r="AA37" s="165">
        <f>IF(選手!C36="","",選手!C36)</f>
        <v>35</v>
      </c>
      <c r="AB37" s="166" t="str">
        <f>IF(選手!D36="","",選手!D36)</f>
        <v>大竹 誠</v>
      </c>
      <c r="AC37" s="165" t="str">
        <f>IF(選手!E36="","",選手!E36)</f>
        <v>男</v>
      </c>
      <c r="AD37" s="167">
        <f>記録!O23</f>
        <v>4</v>
      </c>
      <c r="AE37" s="166">
        <f>記録!O22</f>
        <v>4.1100101099999993</v>
      </c>
      <c r="AF37" s="166">
        <f>AG37+COUNTIF(AG3:AG37,AG37)-1</f>
        <v>22</v>
      </c>
      <c r="AG37" s="166">
        <f t="shared" si="38"/>
        <v>21</v>
      </c>
    </row>
    <row r="38" spans="2:33" x14ac:dyDescent="0.75">
      <c r="B38" s="144">
        <v>36</v>
      </c>
      <c r="C38" s="158">
        <f t="shared" si="25"/>
        <v>36</v>
      </c>
      <c r="D38" s="159" t="str">
        <f t="shared" si="26"/>
        <v>豊明A</v>
      </c>
      <c r="E38" s="158">
        <f t="shared" si="27"/>
        <v>11</v>
      </c>
      <c r="F38" s="159" t="str">
        <f t="shared" si="28"/>
        <v>外山 康彦</v>
      </c>
      <c r="G38" s="158" t="str">
        <f t="shared" si="29"/>
        <v>男</v>
      </c>
      <c r="H38" s="160">
        <f t="shared" si="5"/>
        <v>3</v>
      </c>
      <c r="I38" s="161">
        <f t="shared" si="17"/>
        <v>38</v>
      </c>
      <c r="J38" s="161" t="str">
        <f t="shared" si="18"/>
        <v/>
      </c>
      <c r="L38" s="162" t="str">
        <f t="shared" si="21"/>
        <v/>
      </c>
      <c r="M38" s="168" t="str">
        <f t="shared" si="30"/>
        <v/>
      </c>
      <c r="N38" s="169" t="str">
        <f t="shared" si="31"/>
        <v/>
      </c>
      <c r="O38" s="170" t="str">
        <f t="shared" si="32"/>
        <v/>
      </c>
      <c r="P38" s="171" t="str">
        <f t="shared" si="33"/>
        <v/>
      </c>
      <c r="Q38" s="162" t="str">
        <f t="shared" si="22"/>
        <v/>
      </c>
      <c r="S38" s="162" t="str">
        <f t="shared" si="23"/>
        <v/>
      </c>
      <c r="T38" s="168" t="str">
        <f t="shared" si="34"/>
        <v/>
      </c>
      <c r="U38" s="169" t="str">
        <f t="shared" si="35"/>
        <v/>
      </c>
      <c r="V38" s="170" t="str">
        <f t="shared" si="36"/>
        <v/>
      </c>
      <c r="W38" s="171" t="str">
        <f t="shared" si="37"/>
        <v/>
      </c>
      <c r="X38" s="162" t="str">
        <f t="shared" si="24"/>
        <v/>
      </c>
      <c r="Z38" s="165" t="str">
        <f>IF(選手!B37="","",選手!B37)</f>
        <v>尾張旭A</v>
      </c>
      <c r="AA38" s="165">
        <f>IF(選手!C37="","",選手!C37)</f>
        <v>36</v>
      </c>
      <c r="AB38" s="166" t="str">
        <f>IF(選手!D37="","",選手!D37)</f>
        <v>山田 英治</v>
      </c>
      <c r="AC38" s="165" t="str">
        <f>IF(選手!E37="","",選手!E37)</f>
        <v>男</v>
      </c>
      <c r="AD38" s="167">
        <f>記録!N23</f>
        <v>4</v>
      </c>
      <c r="AE38" s="166">
        <f>記録!N22</f>
        <v>4.1011001010000001</v>
      </c>
      <c r="AF38" s="166">
        <f>AG38+COUNTIF(AG3:AG38,AG38)-1</f>
        <v>28</v>
      </c>
      <c r="AG38" s="166">
        <f t="shared" si="38"/>
        <v>28</v>
      </c>
    </row>
    <row r="39" spans="2:33" x14ac:dyDescent="0.75">
      <c r="B39" s="144">
        <v>37</v>
      </c>
      <c r="C39" s="158">
        <f t="shared" si="25"/>
        <v>36</v>
      </c>
      <c r="D39" s="159" t="str">
        <f t="shared" si="26"/>
        <v>瀬戸B</v>
      </c>
      <c r="E39" s="158">
        <f t="shared" si="27"/>
        <v>57</v>
      </c>
      <c r="F39" s="159" t="str">
        <f t="shared" si="28"/>
        <v>谷口 弥生</v>
      </c>
      <c r="G39" s="158" t="str">
        <f t="shared" si="29"/>
        <v>女</v>
      </c>
      <c r="H39" s="160">
        <f t="shared" si="5"/>
        <v>3</v>
      </c>
      <c r="I39" s="161" t="str">
        <f t="shared" si="17"/>
        <v/>
      </c>
      <c r="J39" s="161">
        <f t="shared" si="18"/>
        <v>39</v>
      </c>
      <c r="L39" s="162" t="str">
        <f t="shared" si="21"/>
        <v/>
      </c>
      <c r="M39" s="168" t="str">
        <f t="shared" si="30"/>
        <v/>
      </c>
      <c r="N39" s="169" t="str">
        <f t="shared" si="31"/>
        <v/>
      </c>
      <c r="O39" s="170" t="str">
        <f t="shared" si="32"/>
        <v/>
      </c>
      <c r="P39" s="171" t="str">
        <f t="shared" si="33"/>
        <v/>
      </c>
      <c r="Q39" s="162" t="str">
        <f t="shared" si="22"/>
        <v/>
      </c>
      <c r="S39" s="162" t="str">
        <f t="shared" si="23"/>
        <v/>
      </c>
      <c r="T39" s="168" t="str">
        <f t="shared" si="34"/>
        <v/>
      </c>
      <c r="U39" s="169" t="str">
        <f t="shared" si="35"/>
        <v/>
      </c>
      <c r="V39" s="170" t="str">
        <f t="shared" si="36"/>
        <v/>
      </c>
      <c r="W39" s="171" t="str">
        <f t="shared" si="37"/>
        <v/>
      </c>
      <c r="X39" s="162" t="str">
        <f t="shared" si="24"/>
        <v/>
      </c>
      <c r="Z39" s="165" t="str">
        <f>IF(選手!B38="","",選手!B38)</f>
        <v>尾張旭B</v>
      </c>
      <c r="AA39" s="165">
        <f>IF(選手!C38="","",選手!C38)</f>
        <v>37</v>
      </c>
      <c r="AB39" s="166" t="str">
        <f>IF(選手!D38="","",選手!D38)</f>
        <v>田中 沙紀子</v>
      </c>
      <c r="AC39" s="165" t="str">
        <f>IF(選手!E38="","",選手!E38)</f>
        <v>女</v>
      </c>
      <c r="AD39" s="167">
        <f>記録!M23</f>
        <v>2</v>
      </c>
      <c r="AE39" s="166">
        <f>記録!M22</f>
        <v>2.1011000000000002</v>
      </c>
      <c r="AF39" s="166">
        <f>AG39+COUNTIF(AG3:AG39,AG39)-1</f>
        <v>52</v>
      </c>
      <c r="AG39" s="166">
        <f t="shared" si="38"/>
        <v>52</v>
      </c>
    </row>
    <row r="40" spans="2:33" x14ac:dyDescent="0.75">
      <c r="B40" s="144">
        <v>38</v>
      </c>
      <c r="C40" s="158">
        <f t="shared" si="25"/>
        <v>38</v>
      </c>
      <c r="D40" s="159" t="str">
        <f t="shared" si="26"/>
        <v>西春日井B</v>
      </c>
      <c r="E40" s="158">
        <f t="shared" si="27"/>
        <v>46</v>
      </c>
      <c r="F40" s="159" t="str">
        <f t="shared" si="28"/>
        <v>中神 佐知子</v>
      </c>
      <c r="G40" s="158" t="str">
        <f t="shared" si="29"/>
        <v>女</v>
      </c>
      <c r="H40" s="160">
        <f t="shared" si="5"/>
        <v>3</v>
      </c>
      <c r="I40" s="161" t="str">
        <f t="shared" si="17"/>
        <v/>
      </c>
      <c r="J40" s="161">
        <f t="shared" si="18"/>
        <v>40</v>
      </c>
      <c r="L40" s="162" t="str">
        <f t="shared" si="21"/>
        <v/>
      </c>
      <c r="M40" s="168" t="str">
        <f t="shared" si="30"/>
        <v/>
      </c>
      <c r="N40" s="169" t="str">
        <f t="shared" si="31"/>
        <v/>
      </c>
      <c r="O40" s="170" t="str">
        <f t="shared" si="32"/>
        <v/>
      </c>
      <c r="P40" s="171" t="str">
        <f t="shared" si="33"/>
        <v/>
      </c>
      <c r="Q40" s="162" t="str">
        <f t="shared" si="22"/>
        <v/>
      </c>
      <c r="S40" s="162" t="str">
        <f t="shared" si="23"/>
        <v/>
      </c>
      <c r="T40" s="168" t="str">
        <f t="shared" si="34"/>
        <v/>
      </c>
      <c r="U40" s="169" t="str">
        <f t="shared" si="35"/>
        <v/>
      </c>
      <c r="V40" s="170" t="str">
        <f t="shared" si="36"/>
        <v/>
      </c>
      <c r="W40" s="171" t="str">
        <f t="shared" si="37"/>
        <v/>
      </c>
      <c r="X40" s="162" t="str">
        <f t="shared" si="24"/>
        <v/>
      </c>
      <c r="Z40" s="165" t="str">
        <f>IF(選手!B39="","",選手!B39)</f>
        <v>尾張旭B</v>
      </c>
      <c r="AA40" s="165">
        <f>IF(選手!C39="","",選手!C39)</f>
        <v>38</v>
      </c>
      <c r="AB40" s="166" t="str">
        <f>IF(選手!D39="","",選手!D39)</f>
        <v>北川 裕希子</v>
      </c>
      <c r="AC40" s="165" t="str">
        <f>IF(選手!E39="","",選手!E39)</f>
        <v>女</v>
      </c>
      <c r="AD40" s="167">
        <f>記録!L23</f>
        <v>3</v>
      </c>
      <c r="AE40" s="166">
        <f>記録!L22</f>
        <v>3.11010001</v>
      </c>
      <c r="AF40" s="166">
        <f>AG40+COUNTIF(AG3:AG40,AG40)-1</f>
        <v>34</v>
      </c>
      <c r="AG40" s="166">
        <f t="shared" si="38"/>
        <v>34</v>
      </c>
    </row>
    <row r="41" spans="2:33" x14ac:dyDescent="0.75">
      <c r="B41" s="144">
        <v>39</v>
      </c>
      <c r="C41" s="158">
        <f t="shared" si="25"/>
        <v>39</v>
      </c>
      <c r="D41" s="159" t="str">
        <f t="shared" si="26"/>
        <v>豊明A</v>
      </c>
      <c r="E41" s="158">
        <f t="shared" si="27"/>
        <v>10</v>
      </c>
      <c r="F41" s="159" t="str">
        <f t="shared" si="28"/>
        <v>近藤 治</v>
      </c>
      <c r="G41" s="158" t="str">
        <f t="shared" si="29"/>
        <v>男</v>
      </c>
      <c r="H41" s="160">
        <f t="shared" si="5"/>
        <v>3</v>
      </c>
      <c r="I41" s="161">
        <f t="shared" si="17"/>
        <v>41</v>
      </c>
      <c r="J41" s="161" t="str">
        <f t="shared" si="18"/>
        <v/>
      </c>
      <c r="L41" s="162" t="str">
        <f t="shared" si="21"/>
        <v/>
      </c>
      <c r="M41" s="168" t="str">
        <f t="shared" si="30"/>
        <v/>
      </c>
      <c r="N41" s="169" t="str">
        <f t="shared" si="31"/>
        <v/>
      </c>
      <c r="O41" s="170" t="str">
        <f t="shared" si="32"/>
        <v/>
      </c>
      <c r="P41" s="171" t="str">
        <f t="shared" si="33"/>
        <v/>
      </c>
      <c r="Q41" s="162" t="str">
        <f t="shared" si="22"/>
        <v/>
      </c>
      <c r="S41" s="162" t="str">
        <f t="shared" si="23"/>
        <v/>
      </c>
      <c r="T41" s="168" t="str">
        <f t="shared" si="34"/>
        <v/>
      </c>
      <c r="U41" s="169" t="str">
        <f t="shared" si="35"/>
        <v/>
      </c>
      <c r="V41" s="170" t="str">
        <f t="shared" si="36"/>
        <v/>
      </c>
      <c r="W41" s="171" t="str">
        <f t="shared" si="37"/>
        <v/>
      </c>
      <c r="X41" s="162" t="str">
        <f t="shared" si="24"/>
        <v/>
      </c>
      <c r="Z41" s="165" t="str">
        <f>IF(選手!B40="","",選手!B40)</f>
        <v>尾張旭B</v>
      </c>
      <c r="AA41" s="165">
        <f>IF(選手!C40="","",選手!C40)</f>
        <v>39</v>
      </c>
      <c r="AB41" s="166" t="str">
        <f>IF(選手!D40="","",選手!D40)</f>
        <v>安達 初枝</v>
      </c>
      <c r="AC41" s="165" t="str">
        <f>IF(選手!E40="","",選手!E40)</f>
        <v>女</v>
      </c>
      <c r="AD41" s="167">
        <f>記録!K23</f>
        <v>3</v>
      </c>
      <c r="AE41" s="166">
        <f>記録!K22</f>
        <v>3.1010100999999999</v>
      </c>
      <c r="AF41" s="166">
        <f>AG41+COUNTIF(AG3:AG41,AG41)-1</f>
        <v>40</v>
      </c>
      <c r="AG41" s="166">
        <f t="shared" si="38"/>
        <v>39</v>
      </c>
    </row>
    <row r="42" spans="2:33" x14ac:dyDescent="0.75">
      <c r="B42" s="144">
        <v>40</v>
      </c>
      <c r="C42" s="158">
        <f t="shared" si="25"/>
        <v>39</v>
      </c>
      <c r="D42" s="159" t="str">
        <f t="shared" si="26"/>
        <v>尾張旭B</v>
      </c>
      <c r="E42" s="158">
        <f t="shared" si="27"/>
        <v>39</v>
      </c>
      <c r="F42" s="159" t="str">
        <f t="shared" si="28"/>
        <v>安達 初枝</v>
      </c>
      <c r="G42" s="158" t="str">
        <f t="shared" si="29"/>
        <v>女</v>
      </c>
      <c r="H42" s="160">
        <f t="shared" si="5"/>
        <v>3</v>
      </c>
      <c r="I42" s="161" t="str">
        <f t="shared" si="17"/>
        <v/>
      </c>
      <c r="J42" s="161">
        <f t="shared" si="18"/>
        <v>42</v>
      </c>
      <c r="L42" s="162" t="str">
        <f t="shared" si="21"/>
        <v/>
      </c>
      <c r="M42" s="168" t="str">
        <f t="shared" si="30"/>
        <v/>
      </c>
      <c r="N42" s="169" t="str">
        <f t="shared" si="31"/>
        <v/>
      </c>
      <c r="O42" s="170" t="str">
        <f t="shared" si="32"/>
        <v/>
      </c>
      <c r="P42" s="171" t="str">
        <f t="shared" si="33"/>
        <v/>
      </c>
      <c r="Q42" s="162" t="str">
        <f t="shared" si="22"/>
        <v/>
      </c>
      <c r="S42" s="162" t="str">
        <f t="shared" si="23"/>
        <v/>
      </c>
      <c r="T42" s="168" t="str">
        <f t="shared" si="34"/>
        <v/>
      </c>
      <c r="U42" s="169" t="str">
        <f t="shared" si="35"/>
        <v/>
      </c>
      <c r="V42" s="170" t="str">
        <f t="shared" si="36"/>
        <v/>
      </c>
      <c r="W42" s="171" t="str">
        <f t="shared" si="37"/>
        <v/>
      </c>
      <c r="X42" s="162" t="str">
        <f t="shared" si="24"/>
        <v/>
      </c>
      <c r="Z42" s="165" t="str">
        <f>IF(選手!B41="","",選手!B41)</f>
        <v>尾張旭B</v>
      </c>
      <c r="AA42" s="165">
        <f>IF(選手!C41="","",選手!C41)</f>
        <v>40</v>
      </c>
      <c r="AB42" s="166" t="str">
        <f>IF(選手!D41="","",選手!D41)</f>
        <v>加藤 康子</v>
      </c>
      <c r="AC42" s="165" t="str">
        <f>IF(選手!E41="","",選手!E41)</f>
        <v>女</v>
      </c>
      <c r="AD42" s="167">
        <f>記録!J23</f>
        <v>2</v>
      </c>
      <c r="AE42" s="166">
        <f>記録!J22</f>
        <v>2.1100100099999999</v>
      </c>
      <c r="AF42" s="166">
        <f>AG42+COUNTIF(AG3:AG42,AG42)-1</f>
        <v>50</v>
      </c>
      <c r="AG42" s="166">
        <f t="shared" si="38"/>
        <v>50</v>
      </c>
    </row>
    <row r="43" spans="2:33" x14ac:dyDescent="0.75">
      <c r="B43" s="144">
        <v>41</v>
      </c>
      <c r="C43" s="158">
        <f t="shared" si="25"/>
        <v>41</v>
      </c>
      <c r="D43" s="159" t="str">
        <f t="shared" si="26"/>
        <v>春日井A</v>
      </c>
      <c r="E43" s="158">
        <f t="shared" si="27"/>
        <v>3</v>
      </c>
      <c r="F43" s="159" t="str">
        <f t="shared" si="28"/>
        <v>大嶋 啓嗣</v>
      </c>
      <c r="G43" s="158" t="str">
        <f t="shared" si="29"/>
        <v>男</v>
      </c>
      <c r="H43" s="160">
        <f t="shared" si="5"/>
        <v>3</v>
      </c>
      <c r="I43" s="161">
        <f t="shared" si="17"/>
        <v>43</v>
      </c>
      <c r="J43" s="161" t="str">
        <f t="shared" si="18"/>
        <v/>
      </c>
      <c r="L43" s="162" t="str">
        <f t="shared" si="21"/>
        <v/>
      </c>
      <c r="M43" s="168" t="str">
        <f t="shared" si="30"/>
        <v/>
      </c>
      <c r="N43" s="169" t="str">
        <f t="shared" si="31"/>
        <v/>
      </c>
      <c r="O43" s="170" t="str">
        <f t="shared" si="32"/>
        <v/>
      </c>
      <c r="P43" s="171" t="str">
        <f t="shared" si="33"/>
        <v/>
      </c>
      <c r="Q43" s="162" t="str">
        <f t="shared" si="22"/>
        <v/>
      </c>
      <c r="S43" s="162" t="str">
        <f t="shared" si="23"/>
        <v/>
      </c>
      <c r="T43" s="168" t="str">
        <f t="shared" si="34"/>
        <v/>
      </c>
      <c r="U43" s="169" t="str">
        <f t="shared" si="35"/>
        <v/>
      </c>
      <c r="V43" s="170" t="str">
        <f t="shared" si="36"/>
        <v/>
      </c>
      <c r="W43" s="171" t="str">
        <f t="shared" si="37"/>
        <v/>
      </c>
      <c r="X43" s="162" t="str">
        <f t="shared" si="24"/>
        <v/>
      </c>
      <c r="Z43" s="165" t="str">
        <f>IF(選手!B42="","",選手!B42)</f>
        <v>西春日井A</v>
      </c>
      <c r="AA43" s="165">
        <f>IF(選手!C42="","",選手!C42)</f>
        <v>41</v>
      </c>
      <c r="AB43" s="166" t="str">
        <f>IF(選手!D42="","",選手!D42)</f>
        <v>丹羽 泰生</v>
      </c>
      <c r="AC43" s="165" t="str">
        <f>IF(選手!E42="","",選手!E42)</f>
        <v>男</v>
      </c>
      <c r="AD43" s="167">
        <f>記録!Y41</f>
        <v>2</v>
      </c>
      <c r="AE43" s="166">
        <f>記録!Y40</f>
        <v>2.1001000010000004</v>
      </c>
      <c r="AF43" s="166">
        <f>AG43+COUNTIF(AG3:AG43,AG43)-1</f>
        <v>58</v>
      </c>
      <c r="AG43" s="166">
        <f t="shared" si="38"/>
        <v>58</v>
      </c>
    </row>
    <row r="44" spans="2:33" x14ac:dyDescent="0.75">
      <c r="B44" s="144">
        <v>42</v>
      </c>
      <c r="C44" s="158">
        <f t="shared" si="25"/>
        <v>41</v>
      </c>
      <c r="D44" s="159" t="str">
        <f t="shared" si="26"/>
        <v>豊明B</v>
      </c>
      <c r="E44" s="158">
        <f t="shared" si="27"/>
        <v>14</v>
      </c>
      <c r="F44" s="159" t="str">
        <f t="shared" si="28"/>
        <v>深見 裕子</v>
      </c>
      <c r="G44" s="158" t="str">
        <f t="shared" si="29"/>
        <v>女</v>
      </c>
      <c r="H44" s="160">
        <f t="shared" si="5"/>
        <v>3</v>
      </c>
      <c r="I44" s="161" t="str">
        <f t="shared" si="17"/>
        <v/>
      </c>
      <c r="J44" s="161">
        <f t="shared" si="18"/>
        <v>44</v>
      </c>
      <c r="L44" s="162" t="str">
        <f t="shared" si="21"/>
        <v/>
      </c>
      <c r="M44" s="168" t="str">
        <f t="shared" si="30"/>
        <v/>
      </c>
      <c r="N44" s="169" t="str">
        <f t="shared" si="31"/>
        <v/>
      </c>
      <c r="O44" s="170" t="str">
        <f t="shared" si="32"/>
        <v/>
      </c>
      <c r="P44" s="171" t="str">
        <f t="shared" si="33"/>
        <v/>
      </c>
      <c r="Q44" s="162" t="str">
        <f t="shared" si="22"/>
        <v/>
      </c>
      <c r="S44" s="162" t="str">
        <f t="shared" si="23"/>
        <v/>
      </c>
      <c r="T44" s="168" t="str">
        <f t="shared" si="34"/>
        <v/>
      </c>
      <c r="U44" s="169" t="str">
        <f t="shared" si="35"/>
        <v/>
      </c>
      <c r="V44" s="170" t="str">
        <f t="shared" si="36"/>
        <v/>
      </c>
      <c r="W44" s="171" t="str">
        <f t="shared" si="37"/>
        <v/>
      </c>
      <c r="X44" s="162" t="str">
        <f t="shared" si="24"/>
        <v/>
      </c>
      <c r="Z44" s="165" t="str">
        <f>IF(選手!B43="","",選手!B43)</f>
        <v>西春日井A</v>
      </c>
      <c r="AA44" s="165">
        <f>IF(選手!C43="","",選手!C43)</f>
        <v>42</v>
      </c>
      <c r="AB44" s="166" t="str">
        <f>IF(選手!D43="","",選手!D43)</f>
        <v>杉原 伸哉</v>
      </c>
      <c r="AC44" s="165" t="str">
        <f>IF(選手!E43="","",選手!E43)</f>
        <v>男</v>
      </c>
      <c r="AD44" s="167">
        <f>記録!X41</f>
        <v>2</v>
      </c>
      <c r="AE44" s="166">
        <f>記録!X40</f>
        <v>2.1010000999999998</v>
      </c>
      <c r="AF44" s="166">
        <f>AG44+COUNTIF(AG3:AG44,AG44)-1</f>
        <v>53</v>
      </c>
      <c r="AG44" s="166">
        <f t="shared" si="38"/>
        <v>53</v>
      </c>
    </row>
    <row r="45" spans="2:33" x14ac:dyDescent="0.75">
      <c r="B45" s="144">
        <v>43</v>
      </c>
      <c r="C45" s="158">
        <f t="shared" si="25"/>
        <v>41</v>
      </c>
      <c r="D45" s="159" t="str">
        <f t="shared" si="26"/>
        <v>長久手B</v>
      </c>
      <c r="E45" s="158">
        <f t="shared" si="27"/>
        <v>29</v>
      </c>
      <c r="F45" s="159" t="str">
        <f t="shared" si="28"/>
        <v>澤田 圭子</v>
      </c>
      <c r="G45" s="158" t="str">
        <f t="shared" si="29"/>
        <v>女</v>
      </c>
      <c r="H45" s="160">
        <f t="shared" si="5"/>
        <v>3</v>
      </c>
      <c r="I45" s="161" t="str">
        <f t="shared" si="17"/>
        <v/>
      </c>
      <c r="J45" s="161">
        <f t="shared" si="18"/>
        <v>45</v>
      </c>
      <c r="L45" s="162" t="str">
        <f t="shared" si="21"/>
        <v/>
      </c>
      <c r="M45" s="168" t="str">
        <f t="shared" si="30"/>
        <v/>
      </c>
      <c r="N45" s="169" t="str">
        <f t="shared" si="31"/>
        <v/>
      </c>
      <c r="O45" s="170" t="str">
        <f t="shared" si="32"/>
        <v/>
      </c>
      <c r="P45" s="171" t="str">
        <f t="shared" si="33"/>
        <v/>
      </c>
      <c r="Q45" s="162" t="str">
        <f t="shared" si="22"/>
        <v/>
      </c>
      <c r="S45" s="162" t="str">
        <f t="shared" si="23"/>
        <v/>
      </c>
      <c r="T45" s="168" t="str">
        <f t="shared" si="34"/>
        <v/>
      </c>
      <c r="U45" s="169" t="str">
        <f t="shared" si="35"/>
        <v/>
      </c>
      <c r="V45" s="170" t="str">
        <f t="shared" si="36"/>
        <v/>
      </c>
      <c r="W45" s="171" t="str">
        <f t="shared" si="37"/>
        <v/>
      </c>
      <c r="X45" s="162" t="str">
        <f t="shared" si="24"/>
        <v/>
      </c>
      <c r="Z45" s="165" t="str">
        <f>IF(選手!B44="","",選手!B44)</f>
        <v>西春日井A</v>
      </c>
      <c r="AA45" s="165">
        <f>IF(選手!C44="","",選手!C44)</f>
        <v>43</v>
      </c>
      <c r="AB45" s="166" t="str">
        <f>IF(選手!D44="","",選手!D44)</f>
        <v>大槻 成実</v>
      </c>
      <c r="AC45" s="165" t="str">
        <f>IF(選手!E44="","",選手!E44)</f>
        <v>男</v>
      </c>
      <c r="AD45" s="167">
        <f>記録!W41</f>
        <v>2</v>
      </c>
      <c r="AE45" s="166">
        <f>記録!W40</f>
        <v>2.1001001000000001</v>
      </c>
      <c r="AF45" s="166">
        <f>AG45+COUNTIF(AG3:AG45,AG45)-1</f>
        <v>56</v>
      </c>
      <c r="AG45" s="166">
        <f t="shared" si="38"/>
        <v>55</v>
      </c>
    </row>
    <row r="46" spans="2:33" x14ac:dyDescent="0.75">
      <c r="B46" s="144">
        <v>44</v>
      </c>
      <c r="C46" s="158">
        <f t="shared" si="25"/>
        <v>41</v>
      </c>
      <c r="D46" s="159" t="str">
        <f t="shared" si="26"/>
        <v>瀬戸A</v>
      </c>
      <c r="E46" s="158">
        <f t="shared" si="27"/>
        <v>55</v>
      </c>
      <c r="F46" s="159" t="str">
        <f t="shared" si="28"/>
        <v>加藤 広史</v>
      </c>
      <c r="G46" s="158" t="str">
        <f t="shared" si="29"/>
        <v>男</v>
      </c>
      <c r="H46" s="160">
        <f t="shared" si="5"/>
        <v>3</v>
      </c>
      <c r="I46" s="161">
        <f t="shared" si="17"/>
        <v>46</v>
      </c>
      <c r="J46" s="161" t="str">
        <f t="shared" si="18"/>
        <v/>
      </c>
      <c r="L46" s="162" t="str">
        <f t="shared" si="21"/>
        <v/>
      </c>
      <c r="M46" s="168" t="str">
        <f t="shared" si="30"/>
        <v/>
      </c>
      <c r="N46" s="169" t="str">
        <f t="shared" si="31"/>
        <v/>
      </c>
      <c r="O46" s="170" t="str">
        <f t="shared" si="32"/>
        <v/>
      </c>
      <c r="P46" s="171" t="str">
        <f t="shared" si="33"/>
        <v/>
      </c>
      <c r="Q46" s="162" t="str">
        <f t="shared" si="22"/>
        <v/>
      </c>
      <c r="S46" s="162" t="str">
        <f t="shared" si="23"/>
        <v/>
      </c>
      <c r="T46" s="168" t="str">
        <f t="shared" si="34"/>
        <v/>
      </c>
      <c r="U46" s="169" t="str">
        <f t="shared" si="35"/>
        <v/>
      </c>
      <c r="V46" s="170" t="str">
        <f t="shared" si="36"/>
        <v/>
      </c>
      <c r="W46" s="171" t="str">
        <f t="shared" si="37"/>
        <v/>
      </c>
      <c r="X46" s="162" t="str">
        <f t="shared" si="24"/>
        <v/>
      </c>
      <c r="Z46" s="165" t="str">
        <f>IF(選手!B45="","",選手!B45)</f>
        <v>西春日井A</v>
      </c>
      <c r="AA46" s="165">
        <f>IF(選手!C45="","",選手!C45)</f>
        <v>44</v>
      </c>
      <c r="AB46" s="166" t="str">
        <f>IF(選手!D45="","",選手!D45)</f>
        <v>加藤 忠人</v>
      </c>
      <c r="AC46" s="165" t="str">
        <f>IF(選手!E45="","",選手!E45)</f>
        <v>男</v>
      </c>
      <c r="AD46" s="167">
        <f>記録!V41</f>
        <v>1</v>
      </c>
      <c r="AE46" s="166">
        <f>記録!V40</f>
        <v>1.10000001</v>
      </c>
      <c r="AF46" s="166">
        <f>AG46+COUNTIF(AG3:AG46,AG46)-1</f>
        <v>59</v>
      </c>
      <c r="AG46" s="166">
        <f t="shared" si="38"/>
        <v>59</v>
      </c>
    </row>
    <row r="47" spans="2:33" x14ac:dyDescent="0.75">
      <c r="B47" s="144">
        <v>45</v>
      </c>
      <c r="C47" s="158">
        <f t="shared" si="25"/>
        <v>45</v>
      </c>
      <c r="D47" s="159" t="str">
        <f t="shared" si="26"/>
        <v>日進B</v>
      </c>
      <c r="E47" s="158">
        <f t="shared" si="27"/>
        <v>23</v>
      </c>
      <c r="F47" s="159" t="str">
        <f t="shared" si="28"/>
        <v>入江 美讃</v>
      </c>
      <c r="G47" s="158" t="str">
        <f t="shared" si="29"/>
        <v>女</v>
      </c>
      <c r="H47" s="160">
        <f t="shared" si="5"/>
        <v>3</v>
      </c>
      <c r="I47" s="161" t="str">
        <f t="shared" si="17"/>
        <v/>
      </c>
      <c r="J47" s="161">
        <f t="shared" si="18"/>
        <v>47</v>
      </c>
      <c r="L47" s="162" t="str">
        <f t="shared" si="21"/>
        <v/>
      </c>
      <c r="M47" s="168" t="str">
        <f t="shared" si="30"/>
        <v/>
      </c>
      <c r="N47" s="169" t="str">
        <f t="shared" si="31"/>
        <v/>
      </c>
      <c r="O47" s="170" t="str">
        <f t="shared" si="32"/>
        <v/>
      </c>
      <c r="P47" s="171" t="str">
        <f t="shared" si="33"/>
        <v/>
      </c>
      <c r="Q47" s="162" t="str">
        <f t="shared" si="22"/>
        <v/>
      </c>
      <c r="S47" s="162" t="str">
        <f t="shared" si="23"/>
        <v/>
      </c>
      <c r="T47" s="168" t="str">
        <f t="shared" si="34"/>
        <v/>
      </c>
      <c r="U47" s="169" t="str">
        <f t="shared" si="35"/>
        <v/>
      </c>
      <c r="V47" s="170" t="str">
        <f t="shared" si="36"/>
        <v/>
      </c>
      <c r="W47" s="171" t="str">
        <f t="shared" si="37"/>
        <v/>
      </c>
      <c r="X47" s="162" t="str">
        <f t="shared" si="24"/>
        <v/>
      </c>
      <c r="Z47" s="165" t="str">
        <f>IF(選手!B46="","",選手!B46)</f>
        <v>西春日井B</v>
      </c>
      <c r="AA47" s="165">
        <f>IF(選手!C46="","",選手!C46)</f>
        <v>45</v>
      </c>
      <c r="AB47" s="166" t="str">
        <f>IF(選手!D46="","",選手!D46)</f>
        <v>村瀬 沙織</v>
      </c>
      <c r="AC47" s="165" t="str">
        <f>IF(選手!E46="","",選手!E46)</f>
        <v>女</v>
      </c>
      <c r="AD47" s="167">
        <f>記録!U41</f>
        <v>5</v>
      </c>
      <c r="AE47" s="166">
        <f>記録!U40</f>
        <v>5.1001101109999993</v>
      </c>
      <c r="AF47" s="166">
        <f>AG47+COUNTIF(AG3:AG47,AG47)-1</f>
        <v>16</v>
      </c>
      <c r="AG47" s="166">
        <f t="shared" si="38"/>
        <v>16</v>
      </c>
    </row>
    <row r="48" spans="2:33" x14ac:dyDescent="0.75">
      <c r="B48" s="144">
        <v>46</v>
      </c>
      <c r="C48" s="158">
        <f t="shared" si="25"/>
        <v>46</v>
      </c>
      <c r="D48" s="159" t="str">
        <f t="shared" si="26"/>
        <v>日進A</v>
      </c>
      <c r="E48" s="158">
        <f t="shared" si="27"/>
        <v>18</v>
      </c>
      <c r="F48" s="159" t="str">
        <f t="shared" si="28"/>
        <v>笠井 大督</v>
      </c>
      <c r="G48" s="158" t="str">
        <f t="shared" si="29"/>
        <v>男</v>
      </c>
      <c r="H48" s="160">
        <f t="shared" si="5"/>
        <v>3</v>
      </c>
      <c r="I48" s="161">
        <f t="shared" si="17"/>
        <v>48</v>
      </c>
      <c r="J48" s="161" t="str">
        <f t="shared" si="18"/>
        <v/>
      </c>
      <c r="L48" s="162" t="str">
        <f t="shared" si="21"/>
        <v/>
      </c>
      <c r="M48" s="168" t="str">
        <f t="shared" si="30"/>
        <v/>
      </c>
      <c r="N48" s="169" t="str">
        <f t="shared" si="31"/>
        <v/>
      </c>
      <c r="O48" s="170" t="str">
        <f t="shared" si="32"/>
        <v/>
      </c>
      <c r="P48" s="171" t="str">
        <f t="shared" si="33"/>
        <v/>
      </c>
      <c r="Q48" s="162" t="str">
        <f t="shared" si="22"/>
        <v/>
      </c>
      <c r="S48" s="162" t="str">
        <f t="shared" si="23"/>
        <v/>
      </c>
      <c r="T48" s="168" t="str">
        <f t="shared" si="34"/>
        <v/>
      </c>
      <c r="U48" s="169" t="str">
        <f t="shared" si="35"/>
        <v/>
      </c>
      <c r="V48" s="170" t="str">
        <f t="shared" si="36"/>
        <v/>
      </c>
      <c r="W48" s="171" t="str">
        <f t="shared" si="37"/>
        <v/>
      </c>
      <c r="X48" s="162" t="str">
        <f t="shared" si="24"/>
        <v/>
      </c>
      <c r="Z48" s="165" t="str">
        <f>IF(選手!B47="","",選手!B47)</f>
        <v>西春日井B</v>
      </c>
      <c r="AA48" s="165">
        <f>IF(選手!C47="","",選手!C47)</f>
        <v>46</v>
      </c>
      <c r="AB48" s="166" t="str">
        <f>IF(選手!D47="","",選手!D47)</f>
        <v>中神 佐知子</v>
      </c>
      <c r="AC48" s="165" t="str">
        <f>IF(選手!E47="","",選手!E47)</f>
        <v>女</v>
      </c>
      <c r="AD48" s="167">
        <f>記録!T41</f>
        <v>3</v>
      </c>
      <c r="AE48" s="166">
        <f>記録!T40</f>
        <v>3.1011000100000001</v>
      </c>
      <c r="AF48" s="166">
        <f>AG48+COUNTIF(AG3:AG48,AG48)-1</f>
        <v>38</v>
      </c>
      <c r="AG48" s="166">
        <f t="shared" si="38"/>
        <v>38</v>
      </c>
    </row>
    <row r="49" spans="2:33" x14ac:dyDescent="0.75">
      <c r="B49" s="144">
        <v>47</v>
      </c>
      <c r="C49" s="158">
        <f t="shared" si="25"/>
        <v>47</v>
      </c>
      <c r="D49" s="159" t="str">
        <f t="shared" si="26"/>
        <v>豊明A</v>
      </c>
      <c r="E49" s="158">
        <f t="shared" si="27"/>
        <v>12</v>
      </c>
      <c r="F49" s="159" t="str">
        <f t="shared" si="28"/>
        <v>榊原 隆一</v>
      </c>
      <c r="G49" s="158" t="str">
        <f t="shared" si="29"/>
        <v>男</v>
      </c>
      <c r="H49" s="160">
        <f t="shared" si="5"/>
        <v>3</v>
      </c>
      <c r="I49" s="161">
        <f t="shared" si="17"/>
        <v>49</v>
      </c>
      <c r="J49" s="161" t="str">
        <f t="shared" si="18"/>
        <v/>
      </c>
      <c r="L49" s="162" t="str">
        <f t="shared" si="21"/>
        <v/>
      </c>
      <c r="M49" s="168" t="str">
        <f t="shared" si="30"/>
        <v/>
      </c>
      <c r="N49" s="169" t="str">
        <f t="shared" si="31"/>
        <v/>
      </c>
      <c r="O49" s="170" t="str">
        <f t="shared" si="32"/>
        <v/>
      </c>
      <c r="P49" s="171" t="str">
        <f t="shared" si="33"/>
        <v/>
      </c>
      <c r="Q49" s="162" t="str">
        <f t="shared" si="22"/>
        <v/>
      </c>
      <c r="S49" s="162" t="str">
        <f t="shared" si="23"/>
        <v/>
      </c>
      <c r="T49" s="168" t="str">
        <f t="shared" si="34"/>
        <v/>
      </c>
      <c r="U49" s="169" t="str">
        <f t="shared" si="35"/>
        <v/>
      </c>
      <c r="V49" s="170" t="str">
        <f t="shared" si="36"/>
        <v/>
      </c>
      <c r="W49" s="171" t="str">
        <f t="shared" si="37"/>
        <v/>
      </c>
      <c r="X49" s="162" t="str">
        <f t="shared" si="24"/>
        <v/>
      </c>
      <c r="Z49" s="165" t="str">
        <f>IF(選手!B48="","",選手!B48)</f>
        <v>西春日井B</v>
      </c>
      <c r="AA49" s="165">
        <f>IF(選手!C48="","",選手!C48)</f>
        <v>47</v>
      </c>
      <c r="AB49" s="166" t="str">
        <f>IF(選手!D48="","",選手!D48)</f>
        <v>荒川 花子</v>
      </c>
      <c r="AC49" s="165" t="str">
        <f>IF(選手!E48="","",選手!E48)</f>
        <v>女</v>
      </c>
      <c r="AD49" s="167">
        <f>記録!S41</f>
        <v>4</v>
      </c>
      <c r="AE49" s="166">
        <f>記録!S40</f>
        <v>4.1101001009999996</v>
      </c>
      <c r="AF49" s="166">
        <f>AG49+COUNTIF(AG3:AG49,AG49)-1</f>
        <v>19</v>
      </c>
      <c r="AG49" s="166">
        <f t="shared" si="38"/>
        <v>19</v>
      </c>
    </row>
    <row r="50" spans="2:33" x14ac:dyDescent="0.75">
      <c r="B50" s="144">
        <v>48</v>
      </c>
      <c r="C50" s="158">
        <f t="shared" si="25"/>
        <v>47</v>
      </c>
      <c r="D50" s="159" t="str">
        <f t="shared" si="26"/>
        <v>瀬戸B</v>
      </c>
      <c r="E50" s="158">
        <f t="shared" si="27"/>
        <v>60</v>
      </c>
      <c r="F50" s="159" t="str">
        <f t="shared" si="28"/>
        <v>原 由美子</v>
      </c>
      <c r="G50" s="158" t="str">
        <f t="shared" si="29"/>
        <v>女</v>
      </c>
      <c r="H50" s="160">
        <f t="shared" si="5"/>
        <v>3</v>
      </c>
      <c r="I50" s="161" t="str">
        <f t="shared" si="17"/>
        <v/>
      </c>
      <c r="J50" s="161">
        <f t="shared" si="18"/>
        <v>50</v>
      </c>
      <c r="L50" s="162" t="str">
        <f t="shared" si="21"/>
        <v/>
      </c>
      <c r="M50" s="168" t="str">
        <f t="shared" si="30"/>
        <v/>
      </c>
      <c r="N50" s="169" t="str">
        <f t="shared" si="31"/>
        <v/>
      </c>
      <c r="O50" s="170" t="str">
        <f t="shared" si="32"/>
        <v/>
      </c>
      <c r="P50" s="171" t="str">
        <f t="shared" si="33"/>
        <v/>
      </c>
      <c r="Q50" s="162" t="str">
        <f t="shared" si="22"/>
        <v/>
      </c>
      <c r="S50" s="162" t="str">
        <f t="shared" si="23"/>
        <v/>
      </c>
      <c r="T50" s="168" t="str">
        <f t="shared" si="34"/>
        <v/>
      </c>
      <c r="U50" s="169" t="str">
        <f t="shared" si="35"/>
        <v/>
      </c>
      <c r="V50" s="170" t="str">
        <f t="shared" si="36"/>
        <v/>
      </c>
      <c r="W50" s="171" t="str">
        <f t="shared" si="37"/>
        <v/>
      </c>
      <c r="X50" s="162" t="str">
        <f t="shared" si="24"/>
        <v/>
      </c>
      <c r="Z50" s="165" t="str">
        <f>IF(選手!B49="","",選手!B49)</f>
        <v>西春日井B</v>
      </c>
      <c r="AA50" s="165">
        <f>IF(選手!C49="","",選手!C49)</f>
        <v>48</v>
      </c>
      <c r="AB50" s="166" t="str">
        <f>IF(選手!D49="","",選手!D49)</f>
        <v>白井 千鶴子</v>
      </c>
      <c r="AC50" s="165" t="str">
        <f>IF(選手!E49="","",選手!E49)</f>
        <v>女</v>
      </c>
      <c r="AD50" s="167">
        <f>記録!R41</f>
        <v>1</v>
      </c>
      <c r="AE50" s="166">
        <f>記録!R40</f>
        <v>1.10000001</v>
      </c>
      <c r="AF50" s="166">
        <f>AG50+COUNTIF(AG3:AG50,AG50)-1</f>
        <v>60</v>
      </c>
      <c r="AG50" s="166">
        <f t="shared" si="38"/>
        <v>59</v>
      </c>
    </row>
    <row r="51" spans="2:33" x14ac:dyDescent="0.75">
      <c r="B51" s="144">
        <v>49</v>
      </c>
      <c r="C51" s="158">
        <f t="shared" si="25"/>
        <v>49</v>
      </c>
      <c r="D51" s="159" t="str">
        <f t="shared" si="26"/>
        <v>瀬戸A</v>
      </c>
      <c r="E51" s="158">
        <f t="shared" si="27"/>
        <v>56</v>
      </c>
      <c r="F51" s="159" t="str">
        <f t="shared" si="28"/>
        <v>長江 辰彦</v>
      </c>
      <c r="G51" s="158" t="str">
        <f t="shared" si="29"/>
        <v>男</v>
      </c>
      <c r="H51" s="160">
        <f t="shared" si="5"/>
        <v>3</v>
      </c>
      <c r="I51" s="161">
        <f t="shared" si="17"/>
        <v>51</v>
      </c>
      <c r="J51" s="161" t="str">
        <f t="shared" si="18"/>
        <v/>
      </c>
      <c r="L51" s="162" t="str">
        <f t="shared" si="21"/>
        <v/>
      </c>
      <c r="M51" s="168" t="str">
        <f t="shared" si="30"/>
        <v/>
      </c>
      <c r="N51" s="169" t="str">
        <f t="shared" si="31"/>
        <v/>
      </c>
      <c r="O51" s="170" t="str">
        <f t="shared" si="32"/>
        <v/>
      </c>
      <c r="P51" s="171" t="str">
        <f t="shared" si="33"/>
        <v/>
      </c>
      <c r="Q51" s="162" t="str">
        <f t="shared" si="22"/>
        <v/>
      </c>
      <c r="S51" s="162" t="str">
        <f t="shared" si="23"/>
        <v/>
      </c>
      <c r="T51" s="168" t="str">
        <f t="shared" si="34"/>
        <v/>
      </c>
      <c r="U51" s="169" t="str">
        <f t="shared" si="35"/>
        <v/>
      </c>
      <c r="V51" s="170" t="str">
        <f t="shared" si="36"/>
        <v/>
      </c>
      <c r="W51" s="171" t="str">
        <f t="shared" si="37"/>
        <v/>
      </c>
      <c r="X51" s="162" t="str">
        <f t="shared" si="24"/>
        <v/>
      </c>
      <c r="Z51" s="165" t="str">
        <f>IF(選手!B50="","",選手!B50)</f>
        <v>愛知A</v>
      </c>
      <c r="AA51" s="165">
        <f>IF(選手!C50="","",選手!C50)</f>
        <v>49</v>
      </c>
      <c r="AB51" s="166" t="str">
        <f>IF(選手!D50="","",選手!D50)</f>
        <v>門矢 誠</v>
      </c>
      <c r="AC51" s="165" t="str">
        <f>IF(選手!E50="","",選手!E50)</f>
        <v>男</v>
      </c>
      <c r="AD51" s="167">
        <f>記録!Q41</f>
        <v>4</v>
      </c>
      <c r="AE51" s="166">
        <f>記録!Q40</f>
        <v>4.1010111</v>
      </c>
      <c r="AF51" s="166">
        <f>AG51+COUNTIF(AG3:AG51,AG51)-1</f>
        <v>29</v>
      </c>
      <c r="AG51" s="166">
        <f t="shared" si="38"/>
        <v>29</v>
      </c>
    </row>
    <row r="52" spans="2:33" x14ac:dyDescent="0.75">
      <c r="B52" s="144">
        <v>50</v>
      </c>
      <c r="C52" s="158">
        <f t="shared" si="25"/>
        <v>50</v>
      </c>
      <c r="D52" s="159" t="str">
        <f t="shared" si="26"/>
        <v>尾張旭B</v>
      </c>
      <c r="E52" s="158">
        <f t="shared" si="27"/>
        <v>40</v>
      </c>
      <c r="F52" s="159" t="str">
        <f t="shared" si="28"/>
        <v>加藤 康子</v>
      </c>
      <c r="G52" s="158" t="str">
        <f t="shared" si="29"/>
        <v>女</v>
      </c>
      <c r="H52" s="160">
        <f t="shared" si="5"/>
        <v>2</v>
      </c>
      <c r="I52" s="161" t="str">
        <f t="shared" si="17"/>
        <v/>
      </c>
      <c r="J52" s="161">
        <f t="shared" si="18"/>
        <v>52</v>
      </c>
      <c r="L52" s="162" t="str">
        <f t="shared" si="21"/>
        <v/>
      </c>
      <c r="M52" s="168" t="str">
        <f t="shared" si="30"/>
        <v/>
      </c>
      <c r="N52" s="169" t="str">
        <f t="shared" si="31"/>
        <v/>
      </c>
      <c r="O52" s="170" t="str">
        <f t="shared" si="32"/>
        <v/>
      </c>
      <c r="P52" s="171" t="str">
        <f t="shared" si="33"/>
        <v/>
      </c>
      <c r="Q52" s="162" t="str">
        <f t="shared" si="22"/>
        <v/>
      </c>
      <c r="S52" s="162" t="str">
        <f t="shared" si="23"/>
        <v/>
      </c>
      <c r="T52" s="168" t="str">
        <f t="shared" si="34"/>
        <v/>
      </c>
      <c r="U52" s="169" t="str">
        <f t="shared" si="35"/>
        <v/>
      </c>
      <c r="V52" s="170" t="str">
        <f t="shared" si="36"/>
        <v/>
      </c>
      <c r="W52" s="171" t="str">
        <f t="shared" si="37"/>
        <v/>
      </c>
      <c r="X52" s="162" t="str">
        <f t="shared" si="24"/>
        <v/>
      </c>
      <c r="Z52" s="165" t="str">
        <f>IF(選手!B51="","",選手!B51)</f>
        <v>愛知A</v>
      </c>
      <c r="AA52" s="165">
        <f>IF(選手!C51="","",選手!C51)</f>
        <v>50</v>
      </c>
      <c r="AB52" s="166" t="str">
        <f>IF(選手!D51="","",選手!D51)</f>
        <v>平野 良則</v>
      </c>
      <c r="AC52" s="165" t="str">
        <f>IF(選手!E51="","",選手!E51)</f>
        <v>男</v>
      </c>
      <c r="AD52" s="167">
        <f>記録!P41</f>
        <v>4</v>
      </c>
      <c r="AE52" s="166">
        <f>記録!P40</f>
        <v>4.1101010099999993</v>
      </c>
      <c r="AF52" s="166">
        <f>AG52+COUNTIF(AG3:AG52,AG52)-1</f>
        <v>18</v>
      </c>
      <c r="AG52" s="166">
        <f t="shared" si="38"/>
        <v>18</v>
      </c>
    </row>
    <row r="53" spans="2:33" x14ac:dyDescent="0.75">
      <c r="B53" s="144">
        <v>51</v>
      </c>
      <c r="C53" s="158">
        <f t="shared" si="25"/>
        <v>51</v>
      </c>
      <c r="D53" s="159" t="str">
        <f t="shared" si="26"/>
        <v>瀬戸A</v>
      </c>
      <c r="E53" s="158">
        <f t="shared" si="27"/>
        <v>53</v>
      </c>
      <c r="F53" s="159" t="str">
        <f t="shared" si="28"/>
        <v>矢島 悟朗</v>
      </c>
      <c r="G53" s="158" t="str">
        <f t="shared" si="29"/>
        <v>男</v>
      </c>
      <c r="H53" s="160">
        <f t="shared" si="5"/>
        <v>2</v>
      </c>
      <c r="I53" s="161">
        <f t="shared" si="17"/>
        <v>53</v>
      </c>
      <c r="J53" s="161" t="str">
        <f t="shared" si="18"/>
        <v/>
      </c>
      <c r="L53" s="162" t="str">
        <f t="shared" si="21"/>
        <v/>
      </c>
      <c r="M53" s="168" t="str">
        <f t="shared" si="30"/>
        <v/>
      </c>
      <c r="N53" s="169" t="str">
        <f t="shared" si="31"/>
        <v/>
      </c>
      <c r="O53" s="170" t="str">
        <f t="shared" si="32"/>
        <v/>
      </c>
      <c r="P53" s="171" t="str">
        <f t="shared" si="33"/>
        <v/>
      </c>
      <c r="Q53" s="162" t="str">
        <f t="shared" si="22"/>
        <v/>
      </c>
      <c r="S53" s="162" t="str">
        <f t="shared" si="23"/>
        <v/>
      </c>
      <c r="T53" s="168" t="str">
        <f t="shared" si="34"/>
        <v/>
      </c>
      <c r="U53" s="169" t="str">
        <f t="shared" si="35"/>
        <v/>
      </c>
      <c r="V53" s="170" t="str">
        <f t="shared" si="36"/>
        <v/>
      </c>
      <c r="W53" s="171" t="str">
        <f t="shared" si="37"/>
        <v/>
      </c>
      <c r="X53" s="162" t="str">
        <f t="shared" si="24"/>
        <v/>
      </c>
      <c r="Z53" s="165" t="str">
        <f>IF(選手!B52="","",選手!B52)</f>
        <v>愛知A</v>
      </c>
      <c r="AA53" s="165">
        <f>IF(選手!C52="","",選手!C52)</f>
        <v>51</v>
      </c>
      <c r="AB53" s="166" t="str">
        <f>IF(選手!D52="","",選手!D52)</f>
        <v>小沢 浩寿</v>
      </c>
      <c r="AC53" s="165" t="str">
        <f>IF(選手!E52="","",選手!E52)</f>
        <v>男</v>
      </c>
      <c r="AD53" s="167">
        <f>記録!O41</f>
        <v>5</v>
      </c>
      <c r="AE53" s="166">
        <f>記録!O40</f>
        <v>5.1011101009999997</v>
      </c>
      <c r="AF53" s="166">
        <f>AG53+COUNTIF(AG3:AG53,AG53)-1</f>
        <v>13</v>
      </c>
      <c r="AG53" s="166">
        <f t="shared" si="38"/>
        <v>13</v>
      </c>
    </row>
    <row r="54" spans="2:33" x14ac:dyDescent="0.75">
      <c r="B54" s="144">
        <v>52</v>
      </c>
      <c r="C54" s="158">
        <f t="shared" si="25"/>
        <v>52</v>
      </c>
      <c r="D54" s="159" t="str">
        <f t="shared" si="26"/>
        <v>尾張旭B</v>
      </c>
      <c r="E54" s="158">
        <f t="shared" si="27"/>
        <v>37</v>
      </c>
      <c r="F54" s="159" t="str">
        <f t="shared" si="28"/>
        <v>田中 沙紀子</v>
      </c>
      <c r="G54" s="158" t="str">
        <f t="shared" si="29"/>
        <v>女</v>
      </c>
      <c r="H54" s="160">
        <f t="shared" si="5"/>
        <v>2</v>
      </c>
      <c r="I54" s="161" t="str">
        <f t="shared" si="17"/>
        <v/>
      </c>
      <c r="J54" s="161">
        <f t="shared" si="18"/>
        <v>54</v>
      </c>
      <c r="L54" s="162" t="str">
        <f t="shared" si="21"/>
        <v/>
      </c>
      <c r="M54" s="168" t="str">
        <f t="shared" si="30"/>
        <v/>
      </c>
      <c r="N54" s="169" t="str">
        <f t="shared" si="31"/>
        <v/>
      </c>
      <c r="O54" s="170" t="str">
        <f t="shared" si="32"/>
        <v/>
      </c>
      <c r="P54" s="171" t="str">
        <f t="shared" si="33"/>
        <v/>
      </c>
      <c r="Q54" s="162" t="str">
        <f t="shared" si="22"/>
        <v/>
      </c>
      <c r="S54" s="162" t="str">
        <f t="shared" si="23"/>
        <v/>
      </c>
      <c r="T54" s="168" t="str">
        <f t="shared" si="34"/>
        <v/>
      </c>
      <c r="U54" s="169" t="str">
        <f t="shared" si="35"/>
        <v/>
      </c>
      <c r="V54" s="170" t="str">
        <f t="shared" si="36"/>
        <v/>
      </c>
      <c r="W54" s="171" t="str">
        <f t="shared" si="37"/>
        <v/>
      </c>
      <c r="X54" s="162" t="str">
        <f t="shared" si="24"/>
        <v/>
      </c>
      <c r="Z54" s="165" t="str">
        <f>IF(選手!B53="","",選手!B53)</f>
        <v>愛知A</v>
      </c>
      <c r="AA54" s="165">
        <f>IF(選手!C53="","",選手!C53)</f>
        <v>52</v>
      </c>
      <c r="AB54" s="166" t="str">
        <f>IF(選手!D53="","",選手!D53)</f>
        <v>木村 憲司</v>
      </c>
      <c r="AC54" s="165" t="str">
        <f>IF(選手!E53="","",選手!E53)</f>
        <v>男</v>
      </c>
      <c r="AD54" s="167">
        <f>記録!N41</f>
        <v>6</v>
      </c>
      <c r="AE54" s="166">
        <f>記録!N40</f>
        <v>6.1111010109999997</v>
      </c>
      <c r="AF54" s="166">
        <f>AG54+COUNTIF(AG3:AG54,AG54)-1</f>
        <v>5</v>
      </c>
      <c r="AG54" s="166">
        <f t="shared" si="38"/>
        <v>5</v>
      </c>
    </row>
    <row r="55" spans="2:33" x14ac:dyDescent="0.75">
      <c r="B55" s="144">
        <v>53</v>
      </c>
      <c r="C55" s="158">
        <f t="shared" si="25"/>
        <v>53</v>
      </c>
      <c r="D55" s="159" t="str">
        <f t="shared" si="26"/>
        <v>西春日井A</v>
      </c>
      <c r="E55" s="158">
        <f t="shared" si="27"/>
        <v>42</v>
      </c>
      <c r="F55" s="159" t="str">
        <f t="shared" si="28"/>
        <v>杉原 伸哉</v>
      </c>
      <c r="G55" s="158" t="str">
        <f t="shared" si="29"/>
        <v>男</v>
      </c>
      <c r="H55" s="160">
        <f t="shared" si="5"/>
        <v>2</v>
      </c>
      <c r="I55" s="161">
        <f t="shared" si="17"/>
        <v>55</v>
      </c>
      <c r="J55" s="161" t="str">
        <f t="shared" si="18"/>
        <v/>
      </c>
      <c r="L55" s="162" t="str">
        <f t="shared" si="21"/>
        <v/>
      </c>
      <c r="M55" s="168" t="str">
        <f t="shared" si="30"/>
        <v/>
      </c>
      <c r="N55" s="169" t="str">
        <f t="shared" si="31"/>
        <v/>
      </c>
      <c r="O55" s="170" t="str">
        <f t="shared" si="32"/>
        <v/>
      </c>
      <c r="P55" s="171" t="str">
        <f t="shared" si="33"/>
        <v/>
      </c>
      <c r="Q55" s="162" t="str">
        <f t="shared" si="22"/>
        <v/>
      </c>
      <c r="S55" s="162" t="str">
        <f t="shared" si="23"/>
        <v/>
      </c>
      <c r="T55" s="168" t="str">
        <f t="shared" si="34"/>
        <v/>
      </c>
      <c r="U55" s="169" t="str">
        <f t="shared" si="35"/>
        <v/>
      </c>
      <c r="V55" s="170" t="str">
        <f t="shared" si="36"/>
        <v/>
      </c>
      <c r="W55" s="171" t="str">
        <f t="shared" si="37"/>
        <v/>
      </c>
      <c r="X55" s="162" t="str">
        <f t="shared" si="24"/>
        <v/>
      </c>
      <c r="Z55" s="165" t="str">
        <f>IF(選手!B54="","",選手!B54)</f>
        <v>瀬戸A</v>
      </c>
      <c r="AA55" s="165">
        <f>IF(選手!C54="","",選手!C54)</f>
        <v>53</v>
      </c>
      <c r="AB55" s="166" t="str">
        <f>IF(選手!D54="","",選手!D54)</f>
        <v>矢島 悟朗</v>
      </c>
      <c r="AC55" s="165" t="str">
        <f>IF(選手!E54="","",選手!E54)</f>
        <v>男</v>
      </c>
      <c r="AD55" s="167">
        <f>記録!M41</f>
        <v>2</v>
      </c>
      <c r="AE55" s="166">
        <f>記録!M40</f>
        <v>2.110000001</v>
      </c>
      <c r="AF55" s="166">
        <f>AG55+COUNTIF(AG3:AG55,AG55)-1</f>
        <v>51</v>
      </c>
      <c r="AG55" s="166">
        <f t="shared" si="38"/>
        <v>51</v>
      </c>
    </row>
    <row r="56" spans="2:33" x14ac:dyDescent="0.75">
      <c r="B56" s="144">
        <v>54</v>
      </c>
      <c r="C56" s="158">
        <f t="shared" si="25"/>
        <v>54</v>
      </c>
      <c r="D56" s="159" t="str">
        <f t="shared" si="26"/>
        <v>長久手B</v>
      </c>
      <c r="E56" s="158">
        <f t="shared" si="27"/>
        <v>31</v>
      </c>
      <c r="F56" s="159" t="str">
        <f t="shared" si="28"/>
        <v>水野 三穂</v>
      </c>
      <c r="G56" s="158" t="str">
        <f t="shared" si="29"/>
        <v>女</v>
      </c>
      <c r="H56" s="160">
        <f t="shared" si="5"/>
        <v>2</v>
      </c>
      <c r="I56" s="161" t="str">
        <f t="shared" si="17"/>
        <v/>
      </c>
      <c r="J56" s="161">
        <f t="shared" si="18"/>
        <v>56</v>
      </c>
      <c r="L56" s="162" t="str">
        <f t="shared" si="21"/>
        <v/>
      </c>
      <c r="M56" s="168" t="str">
        <f t="shared" si="30"/>
        <v/>
      </c>
      <c r="N56" s="169" t="str">
        <f t="shared" si="31"/>
        <v/>
      </c>
      <c r="O56" s="170" t="str">
        <f t="shared" si="32"/>
        <v/>
      </c>
      <c r="P56" s="171" t="str">
        <f t="shared" si="33"/>
        <v/>
      </c>
      <c r="Q56" s="162" t="str">
        <f t="shared" si="22"/>
        <v/>
      </c>
      <c r="S56" s="162" t="str">
        <f t="shared" si="23"/>
        <v/>
      </c>
      <c r="T56" s="168" t="str">
        <f t="shared" si="34"/>
        <v/>
      </c>
      <c r="U56" s="169" t="str">
        <f t="shared" si="35"/>
        <v/>
      </c>
      <c r="V56" s="170" t="str">
        <f t="shared" si="36"/>
        <v/>
      </c>
      <c r="W56" s="171" t="str">
        <f t="shared" si="37"/>
        <v/>
      </c>
      <c r="X56" s="162" t="str">
        <f t="shared" si="24"/>
        <v/>
      </c>
      <c r="Z56" s="165" t="str">
        <f>IF(選手!B55="","",選手!B55)</f>
        <v>瀬戸A</v>
      </c>
      <c r="AA56" s="165">
        <f>IF(選手!C55="","",選手!C55)</f>
        <v>54</v>
      </c>
      <c r="AB56" s="166" t="str">
        <f>IF(選手!D55="","",選手!D55)</f>
        <v>野村 清美</v>
      </c>
      <c r="AC56" s="165" t="str">
        <f>IF(選手!E55="","",選手!E55)</f>
        <v>男</v>
      </c>
      <c r="AD56" s="167">
        <f>記録!L41</f>
        <v>6</v>
      </c>
      <c r="AE56" s="166">
        <f>記録!L40</f>
        <v>6.1111011099999999</v>
      </c>
      <c r="AF56" s="166">
        <f>AG56+COUNTIF(AG3:AG56,AG56)-1</f>
        <v>4</v>
      </c>
      <c r="AG56" s="166">
        <f t="shared" si="38"/>
        <v>4</v>
      </c>
    </row>
    <row r="57" spans="2:33" x14ac:dyDescent="0.75">
      <c r="B57" s="144">
        <v>55</v>
      </c>
      <c r="C57" s="158">
        <f t="shared" si="25"/>
        <v>55</v>
      </c>
      <c r="D57" s="159" t="str">
        <f t="shared" si="26"/>
        <v>春日井B</v>
      </c>
      <c r="E57" s="158">
        <f t="shared" si="27"/>
        <v>6</v>
      </c>
      <c r="F57" s="159" t="str">
        <f t="shared" si="28"/>
        <v>渡會 あすか</v>
      </c>
      <c r="G57" s="158" t="str">
        <f t="shared" si="29"/>
        <v>女</v>
      </c>
      <c r="H57" s="160">
        <f t="shared" si="5"/>
        <v>2</v>
      </c>
      <c r="I57" s="161" t="str">
        <f t="shared" si="17"/>
        <v/>
      </c>
      <c r="J57" s="161">
        <f t="shared" si="18"/>
        <v>57</v>
      </c>
      <c r="L57" s="162" t="str">
        <f t="shared" si="21"/>
        <v/>
      </c>
      <c r="M57" s="168" t="str">
        <f t="shared" si="30"/>
        <v/>
      </c>
      <c r="N57" s="169" t="str">
        <f t="shared" si="31"/>
        <v/>
      </c>
      <c r="O57" s="170" t="str">
        <f t="shared" si="32"/>
        <v/>
      </c>
      <c r="P57" s="171" t="str">
        <f t="shared" si="33"/>
        <v/>
      </c>
      <c r="Q57" s="162" t="str">
        <f t="shared" si="22"/>
        <v/>
      </c>
      <c r="S57" s="162" t="str">
        <f t="shared" si="23"/>
        <v/>
      </c>
      <c r="T57" s="168" t="str">
        <f t="shared" si="34"/>
        <v/>
      </c>
      <c r="U57" s="169" t="str">
        <f t="shared" si="35"/>
        <v/>
      </c>
      <c r="V57" s="170" t="str">
        <f t="shared" si="36"/>
        <v/>
      </c>
      <c r="W57" s="171" t="str">
        <f t="shared" si="37"/>
        <v/>
      </c>
      <c r="X57" s="162" t="str">
        <f t="shared" si="24"/>
        <v/>
      </c>
      <c r="Z57" s="165" t="str">
        <f>IF(選手!B56="","",選手!B56)</f>
        <v>瀬戸A</v>
      </c>
      <c r="AA57" s="165">
        <f>IF(選手!C56="","",選手!C56)</f>
        <v>55</v>
      </c>
      <c r="AB57" s="166" t="str">
        <f>IF(選手!D56="","",選手!D56)</f>
        <v>加藤 広史</v>
      </c>
      <c r="AC57" s="165" t="str">
        <f>IF(選手!E56="","",選手!E56)</f>
        <v>男</v>
      </c>
      <c r="AD57" s="167">
        <f>記録!K41</f>
        <v>3</v>
      </c>
      <c r="AE57" s="166">
        <f>記録!K40</f>
        <v>3.10101001</v>
      </c>
      <c r="AF57" s="166">
        <f>AG57+COUNTIF(AG3:AG57,AG57)-1</f>
        <v>44</v>
      </c>
      <c r="AG57" s="166">
        <f t="shared" si="38"/>
        <v>41</v>
      </c>
    </row>
    <row r="58" spans="2:33" x14ac:dyDescent="0.75">
      <c r="B58" s="144">
        <v>56</v>
      </c>
      <c r="C58" s="158">
        <f t="shared" si="25"/>
        <v>55</v>
      </c>
      <c r="D58" s="159" t="str">
        <f t="shared" si="26"/>
        <v>西春日井A</v>
      </c>
      <c r="E58" s="158">
        <f t="shared" si="27"/>
        <v>43</v>
      </c>
      <c r="F58" s="159" t="str">
        <f t="shared" si="28"/>
        <v>大槻 成実</v>
      </c>
      <c r="G58" s="158" t="str">
        <f t="shared" si="29"/>
        <v>男</v>
      </c>
      <c r="H58" s="160">
        <f t="shared" si="5"/>
        <v>2</v>
      </c>
      <c r="I58" s="161">
        <f t="shared" si="17"/>
        <v>58</v>
      </c>
      <c r="J58" s="161" t="str">
        <f t="shared" si="18"/>
        <v/>
      </c>
      <c r="L58" s="162" t="str">
        <f t="shared" si="21"/>
        <v/>
      </c>
      <c r="M58" s="168" t="str">
        <f t="shared" si="30"/>
        <v/>
      </c>
      <c r="N58" s="169" t="str">
        <f t="shared" si="31"/>
        <v/>
      </c>
      <c r="O58" s="170" t="str">
        <f t="shared" si="32"/>
        <v/>
      </c>
      <c r="P58" s="171" t="str">
        <f t="shared" si="33"/>
        <v/>
      </c>
      <c r="Q58" s="162" t="str">
        <f t="shared" si="22"/>
        <v/>
      </c>
      <c r="S58" s="162" t="str">
        <f t="shared" si="23"/>
        <v/>
      </c>
      <c r="T58" s="168" t="str">
        <f t="shared" si="34"/>
        <v/>
      </c>
      <c r="U58" s="169" t="str">
        <f t="shared" si="35"/>
        <v/>
      </c>
      <c r="V58" s="170" t="str">
        <f t="shared" si="36"/>
        <v/>
      </c>
      <c r="W58" s="171" t="str">
        <f t="shared" si="37"/>
        <v/>
      </c>
      <c r="X58" s="162" t="str">
        <f t="shared" si="24"/>
        <v/>
      </c>
      <c r="Z58" s="165" t="str">
        <f>IF(選手!B57="","",選手!B57)</f>
        <v>瀬戸A</v>
      </c>
      <c r="AA58" s="165">
        <f>IF(選手!C57="","",選手!C57)</f>
        <v>56</v>
      </c>
      <c r="AB58" s="166" t="str">
        <f>IF(選手!D57="","",選手!D57)</f>
        <v>長江 辰彦</v>
      </c>
      <c r="AC58" s="165" t="str">
        <f>IF(選手!E57="","",選手!E57)</f>
        <v>男</v>
      </c>
      <c r="AD58" s="167">
        <f>記録!J41</f>
        <v>3</v>
      </c>
      <c r="AE58" s="166">
        <f>記録!J40</f>
        <v>3.1001001010000002</v>
      </c>
      <c r="AF58" s="166">
        <f>AG58+COUNTIF(AG3:AG58,AG58)-1</f>
        <v>49</v>
      </c>
      <c r="AG58" s="166">
        <f t="shared" si="38"/>
        <v>49</v>
      </c>
    </row>
    <row r="59" spans="2:33" x14ac:dyDescent="0.75">
      <c r="B59" s="144">
        <v>57</v>
      </c>
      <c r="C59" s="158">
        <f t="shared" si="25"/>
        <v>57</v>
      </c>
      <c r="D59" s="159" t="str">
        <f t="shared" si="26"/>
        <v>豊明B</v>
      </c>
      <c r="E59" s="158">
        <f t="shared" si="27"/>
        <v>16</v>
      </c>
      <c r="F59" s="159" t="str">
        <f t="shared" si="28"/>
        <v>谷口 祥子</v>
      </c>
      <c r="G59" s="158" t="str">
        <f t="shared" si="29"/>
        <v>女</v>
      </c>
      <c r="H59" s="160">
        <f t="shared" si="5"/>
        <v>2</v>
      </c>
      <c r="I59" s="161" t="str">
        <f t="shared" si="17"/>
        <v/>
      </c>
      <c r="J59" s="161">
        <f t="shared" si="18"/>
        <v>59</v>
      </c>
      <c r="L59" s="162" t="str">
        <f t="shared" si="21"/>
        <v/>
      </c>
      <c r="M59" s="168" t="str">
        <f t="shared" si="30"/>
        <v/>
      </c>
      <c r="N59" s="169" t="str">
        <f t="shared" si="31"/>
        <v/>
      </c>
      <c r="O59" s="170" t="str">
        <f t="shared" si="32"/>
        <v/>
      </c>
      <c r="P59" s="171" t="str">
        <f t="shared" si="33"/>
        <v/>
      </c>
      <c r="Q59" s="162" t="str">
        <f t="shared" si="22"/>
        <v/>
      </c>
      <c r="S59" s="162" t="str">
        <f t="shared" si="23"/>
        <v/>
      </c>
      <c r="T59" s="168" t="str">
        <f t="shared" si="34"/>
        <v/>
      </c>
      <c r="U59" s="169" t="str">
        <f t="shared" si="35"/>
        <v/>
      </c>
      <c r="V59" s="170" t="str">
        <f t="shared" si="36"/>
        <v/>
      </c>
      <c r="W59" s="171" t="str">
        <f t="shared" si="37"/>
        <v/>
      </c>
      <c r="X59" s="162" t="str">
        <f t="shared" si="24"/>
        <v/>
      </c>
      <c r="Z59" s="165" t="str">
        <f>IF(選手!B58="","",選手!B58)</f>
        <v>瀬戸B</v>
      </c>
      <c r="AA59" s="165">
        <f>IF(選手!C58="","",選手!C58)</f>
        <v>57</v>
      </c>
      <c r="AB59" s="166" t="str">
        <f>IF(選手!D58="","",選手!D58)</f>
        <v>谷口 弥生</v>
      </c>
      <c r="AC59" s="165" t="str">
        <f>IF(選手!E58="","",選手!E58)</f>
        <v>女</v>
      </c>
      <c r="AD59" s="167">
        <f>記録!I41</f>
        <v>3</v>
      </c>
      <c r="AE59" s="166">
        <f>記録!I40</f>
        <v>3.1100010010000001</v>
      </c>
      <c r="AF59" s="166">
        <f>AG59+COUNTIF(AG3:AG59,AG59)-1</f>
        <v>37</v>
      </c>
      <c r="AG59" s="166">
        <f t="shared" si="38"/>
        <v>36</v>
      </c>
    </row>
    <row r="60" spans="2:33" x14ac:dyDescent="0.75">
      <c r="B60" s="144">
        <v>58</v>
      </c>
      <c r="C60" s="158">
        <f t="shared" si="25"/>
        <v>58</v>
      </c>
      <c r="D60" s="159" t="str">
        <f t="shared" si="26"/>
        <v>西春日井A</v>
      </c>
      <c r="E60" s="158">
        <f t="shared" si="27"/>
        <v>41</v>
      </c>
      <c r="F60" s="159" t="str">
        <f t="shared" si="28"/>
        <v>丹羽 泰生</v>
      </c>
      <c r="G60" s="158" t="str">
        <f t="shared" si="29"/>
        <v>男</v>
      </c>
      <c r="H60" s="160">
        <f t="shared" si="5"/>
        <v>2</v>
      </c>
      <c r="I60" s="161">
        <f t="shared" si="17"/>
        <v>60</v>
      </c>
      <c r="J60" s="161" t="str">
        <f t="shared" si="18"/>
        <v/>
      </c>
      <c r="L60" s="162" t="str">
        <f t="shared" si="21"/>
        <v/>
      </c>
      <c r="M60" s="168" t="str">
        <f t="shared" si="30"/>
        <v/>
      </c>
      <c r="N60" s="169" t="str">
        <f t="shared" si="31"/>
        <v/>
      </c>
      <c r="O60" s="170" t="str">
        <f t="shared" si="32"/>
        <v/>
      </c>
      <c r="P60" s="171" t="str">
        <f t="shared" si="33"/>
        <v/>
      </c>
      <c r="Q60" s="162" t="str">
        <f t="shared" si="22"/>
        <v/>
      </c>
      <c r="S60" s="162" t="str">
        <f t="shared" si="23"/>
        <v/>
      </c>
      <c r="T60" s="168" t="str">
        <f t="shared" si="34"/>
        <v/>
      </c>
      <c r="U60" s="169" t="str">
        <f t="shared" si="35"/>
        <v/>
      </c>
      <c r="V60" s="170" t="str">
        <f t="shared" si="36"/>
        <v/>
      </c>
      <c r="W60" s="171" t="str">
        <f t="shared" si="37"/>
        <v/>
      </c>
      <c r="X60" s="162" t="str">
        <f t="shared" si="24"/>
        <v/>
      </c>
      <c r="Z60" s="165" t="str">
        <f>IF(選手!B59="","",選手!B59)</f>
        <v>瀬戸B</v>
      </c>
      <c r="AA60" s="165">
        <f>IF(選手!C59="","",選手!C59)</f>
        <v>58</v>
      </c>
      <c r="AB60" s="166" t="str">
        <f>IF(選手!D59="","",選手!D59)</f>
        <v>加藤 節子</v>
      </c>
      <c r="AC60" s="165" t="str">
        <f>IF(選手!E59="","",選手!E59)</f>
        <v>女</v>
      </c>
      <c r="AD60" s="167">
        <f>記録!H41</f>
        <v>4</v>
      </c>
      <c r="AE60" s="166">
        <f>記録!H40</f>
        <v>4.10110011</v>
      </c>
      <c r="AF60" s="166">
        <f>AG60+COUNTIF(AG3:AG60,AG60)-1</f>
        <v>27</v>
      </c>
      <c r="AG60" s="166">
        <f t="shared" si="38"/>
        <v>26</v>
      </c>
    </row>
    <row r="61" spans="2:33" x14ac:dyDescent="0.75">
      <c r="B61" s="144">
        <v>59</v>
      </c>
      <c r="C61" s="158">
        <f t="shared" si="25"/>
        <v>59</v>
      </c>
      <c r="D61" s="159" t="str">
        <f t="shared" si="26"/>
        <v>西春日井A</v>
      </c>
      <c r="E61" s="158">
        <f t="shared" si="27"/>
        <v>44</v>
      </c>
      <c r="F61" s="159" t="str">
        <f t="shared" si="28"/>
        <v>加藤 忠人</v>
      </c>
      <c r="G61" s="158" t="str">
        <f t="shared" si="29"/>
        <v>男</v>
      </c>
      <c r="H61" s="160">
        <f t="shared" si="5"/>
        <v>1</v>
      </c>
      <c r="I61" s="161">
        <f t="shared" si="17"/>
        <v>61</v>
      </c>
      <c r="J61" s="161" t="str">
        <f t="shared" si="18"/>
        <v/>
      </c>
      <c r="L61" s="162" t="str">
        <f t="shared" si="21"/>
        <v/>
      </c>
      <c r="M61" s="168" t="str">
        <f t="shared" si="30"/>
        <v/>
      </c>
      <c r="N61" s="169" t="str">
        <f t="shared" si="31"/>
        <v/>
      </c>
      <c r="O61" s="170" t="str">
        <f t="shared" si="32"/>
        <v/>
      </c>
      <c r="P61" s="171" t="str">
        <f t="shared" si="33"/>
        <v/>
      </c>
      <c r="Q61" s="162" t="str">
        <f t="shared" si="22"/>
        <v/>
      </c>
      <c r="S61" s="162" t="str">
        <f t="shared" si="23"/>
        <v/>
      </c>
      <c r="T61" s="168" t="str">
        <f t="shared" si="34"/>
        <v/>
      </c>
      <c r="U61" s="169" t="str">
        <f t="shared" si="35"/>
        <v/>
      </c>
      <c r="V61" s="170" t="str">
        <f t="shared" si="36"/>
        <v/>
      </c>
      <c r="W61" s="171" t="str">
        <f t="shared" si="37"/>
        <v/>
      </c>
      <c r="X61" s="162" t="str">
        <f t="shared" si="24"/>
        <v/>
      </c>
      <c r="Z61" s="165" t="str">
        <f>IF(選手!B60="","",選手!B60)</f>
        <v>瀬戸B</v>
      </c>
      <c r="AA61" s="165">
        <f>IF(選手!C60="","",選手!C60)</f>
        <v>59</v>
      </c>
      <c r="AB61" s="166" t="str">
        <f>IF(選手!D60="","",選手!D60)</f>
        <v>瀬山 博子</v>
      </c>
      <c r="AC61" s="165" t="str">
        <f>IF(選手!E60="","",選手!E60)</f>
        <v>女</v>
      </c>
      <c r="AD61" s="167">
        <f>記録!G41</f>
        <v>5</v>
      </c>
      <c r="AE61" s="166">
        <f>記録!G40</f>
        <v>5.1110101099999996</v>
      </c>
      <c r="AF61" s="166">
        <f>AG61+COUNTIF(AG3:AG61,AG61)-1</f>
        <v>8</v>
      </c>
      <c r="AG61" s="166">
        <f t="shared" si="38"/>
        <v>8</v>
      </c>
    </row>
    <row r="62" spans="2:33" x14ac:dyDescent="0.75">
      <c r="B62" s="144">
        <v>60</v>
      </c>
      <c r="C62" s="158">
        <f t="shared" si="25"/>
        <v>59</v>
      </c>
      <c r="D62" s="159" t="str">
        <f t="shared" si="26"/>
        <v>西春日井B</v>
      </c>
      <c r="E62" s="158">
        <f t="shared" si="27"/>
        <v>48</v>
      </c>
      <c r="F62" s="159" t="str">
        <f t="shared" si="28"/>
        <v>白井 千鶴子</v>
      </c>
      <c r="G62" s="158" t="str">
        <f t="shared" si="29"/>
        <v>女</v>
      </c>
      <c r="H62" s="160">
        <f t="shared" si="5"/>
        <v>1</v>
      </c>
      <c r="I62" s="161" t="str">
        <f t="shared" si="17"/>
        <v/>
      </c>
      <c r="J62" s="161">
        <f t="shared" si="18"/>
        <v>62</v>
      </c>
      <c r="L62" s="162" t="str">
        <f t="shared" si="21"/>
        <v/>
      </c>
      <c r="M62" s="168" t="str">
        <f t="shared" si="30"/>
        <v/>
      </c>
      <c r="N62" s="169" t="str">
        <f t="shared" si="31"/>
        <v/>
      </c>
      <c r="O62" s="170" t="str">
        <f t="shared" si="32"/>
        <v/>
      </c>
      <c r="P62" s="171" t="str">
        <f t="shared" si="33"/>
        <v/>
      </c>
      <c r="Q62" s="162" t="str">
        <f t="shared" si="22"/>
        <v/>
      </c>
      <c r="S62" s="162" t="str">
        <f t="shared" si="23"/>
        <v/>
      </c>
      <c r="T62" s="168" t="str">
        <f t="shared" si="34"/>
        <v/>
      </c>
      <c r="U62" s="169" t="str">
        <f t="shared" si="35"/>
        <v/>
      </c>
      <c r="V62" s="170" t="str">
        <f t="shared" si="36"/>
        <v/>
      </c>
      <c r="W62" s="171" t="str">
        <f t="shared" si="37"/>
        <v/>
      </c>
      <c r="X62" s="162" t="str">
        <f t="shared" si="24"/>
        <v/>
      </c>
      <c r="Z62" s="165" t="str">
        <f>IF(選手!B61="","",選手!B61)</f>
        <v>瀬戸B</v>
      </c>
      <c r="AA62" s="165">
        <f>IF(選手!C61="","",選手!C61)</f>
        <v>60</v>
      </c>
      <c r="AB62" s="166" t="str">
        <f>IF(選手!D61="","",選手!D61)</f>
        <v>原 由美子</v>
      </c>
      <c r="AC62" s="165" t="str">
        <f>IF(選手!E61="","",選手!E61)</f>
        <v>女</v>
      </c>
      <c r="AD62" s="167">
        <f>記録!F41</f>
        <v>3</v>
      </c>
      <c r="AE62" s="166">
        <f>記録!F40</f>
        <v>3.1001010010000005</v>
      </c>
      <c r="AF62" s="166">
        <f>AG62+COUNTIF(AG3:AG62,AG62)-1</f>
        <v>48</v>
      </c>
      <c r="AG62" s="166">
        <f t="shared" si="38"/>
        <v>47</v>
      </c>
    </row>
    <row r="63" spans="2:33" x14ac:dyDescent="0.75">
      <c r="B63" s="144">
        <v>61</v>
      </c>
      <c r="C63" s="158">
        <f t="shared" si="25"/>
        <v>61</v>
      </c>
      <c r="D63" s="159" t="str">
        <f t="shared" si="26"/>
        <v>ダミーA</v>
      </c>
      <c r="E63" s="158">
        <f t="shared" si="27"/>
        <v>61</v>
      </c>
      <c r="F63" s="159" t="str">
        <f t="shared" si="28"/>
        <v/>
      </c>
      <c r="G63" s="158" t="str">
        <f t="shared" si="29"/>
        <v/>
      </c>
      <c r="H63" s="160">
        <f t="shared" si="5"/>
        <v>0</v>
      </c>
      <c r="I63" s="161" t="str">
        <f t="shared" si="17"/>
        <v/>
      </c>
      <c r="J63" s="161" t="str">
        <f t="shared" si="18"/>
        <v/>
      </c>
      <c r="L63" s="162" t="str">
        <f t="shared" si="21"/>
        <v/>
      </c>
      <c r="M63" s="168" t="str">
        <f t="shared" si="30"/>
        <v/>
      </c>
      <c r="N63" s="169" t="str">
        <f t="shared" si="31"/>
        <v/>
      </c>
      <c r="O63" s="170" t="str">
        <f t="shared" si="32"/>
        <v/>
      </c>
      <c r="P63" s="171" t="str">
        <f t="shared" si="33"/>
        <v/>
      </c>
      <c r="Q63" s="162" t="str">
        <f t="shared" si="22"/>
        <v/>
      </c>
      <c r="S63" s="162" t="str">
        <f t="shared" si="23"/>
        <v/>
      </c>
      <c r="T63" s="168" t="str">
        <f t="shared" si="34"/>
        <v/>
      </c>
      <c r="U63" s="169" t="str">
        <f t="shared" si="35"/>
        <v/>
      </c>
      <c r="V63" s="170" t="str">
        <f t="shared" si="36"/>
        <v/>
      </c>
      <c r="W63" s="171" t="str">
        <f t="shared" si="37"/>
        <v/>
      </c>
      <c r="X63" s="162" t="str">
        <f t="shared" si="24"/>
        <v/>
      </c>
      <c r="Z63" s="165" t="str">
        <f>IF(選手!B62="","",選手!B62)</f>
        <v>ダミーA</v>
      </c>
      <c r="AA63" s="165">
        <f>IF(選手!C62="","",選手!C62)</f>
        <v>61</v>
      </c>
      <c r="AB63" s="166" t="str">
        <f>IF(選手!D62="","",選手!D62)</f>
        <v/>
      </c>
      <c r="AC63" s="165" t="str">
        <f>IF(選手!E62="","",選手!E62)</f>
        <v/>
      </c>
      <c r="AD63" s="167">
        <f>記録!E59</f>
        <v>0</v>
      </c>
      <c r="AE63" s="166">
        <f>記録!E58</f>
        <v>0.1</v>
      </c>
      <c r="AF63" s="166">
        <f>AG63+COUNTIF(AG3:AG63,AG63)-1</f>
        <v>61</v>
      </c>
      <c r="AG63" s="166">
        <f t="shared" si="38"/>
        <v>61</v>
      </c>
    </row>
    <row r="64" spans="2:33" x14ac:dyDescent="0.75">
      <c r="B64" s="144">
        <v>62</v>
      </c>
      <c r="C64" s="158">
        <f t="shared" si="25"/>
        <v>61</v>
      </c>
      <c r="D64" s="159" t="str">
        <f t="shared" si="26"/>
        <v/>
      </c>
      <c r="E64" s="158">
        <f t="shared" si="27"/>
        <v>62</v>
      </c>
      <c r="F64" s="159" t="str">
        <f t="shared" si="28"/>
        <v/>
      </c>
      <c r="G64" s="158" t="str">
        <f t="shared" si="29"/>
        <v/>
      </c>
      <c r="H64" s="160">
        <f t="shared" si="5"/>
        <v>0</v>
      </c>
      <c r="I64" s="161" t="str">
        <f t="shared" si="17"/>
        <v/>
      </c>
      <c r="J64" s="161" t="str">
        <f t="shared" si="18"/>
        <v/>
      </c>
      <c r="L64" s="162" t="str">
        <f t="shared" si="21"/>
        <v/>
      </c>
      <c r="M64" s="168" t="str">
        <f t="shared" si="30"/>
        <v/>
      </c>
      <c r="N64" s="169" t="str">
        <f t="shared" si="31"/>
        <v/>
      </c>
      <c r="O64" s="170" t="str">
        <f t="shared" si="32"/>
        <v/>
      </c>
      <c r="P64" s="171" t="str">
        <f t="shared" si="33"/>
        <v/>
      </c>
      <c r="Q64" s="162" t="str">
        <f t="shared" si="22"/>
        <v/>
      </c>
      <c r="S64" s="162" t="str">
        <f t="shared" si="23"/>
        <v/>
      </c>
      <c r="T64" s="168" t="str">
        <f t="shared" si="34"/>
        <v/>
      </c>
      <c r="U64" s="169" t="str">
        <f t="shared" si="35"/>
        <v/>
      </c>
      <c r="V64" s="170" t="str">
        <f t="shared" si="36"/>
        <v/>
      </c>
      <c r="W64" s="171" t="str">
        <f t="shared" si="37"/>
        <v/>
      </c>
      <c r="X64" s="162" t="str">
        <f t="shared" si="24"/>
        <v/>
      </c>
      <c r="Z64" s="165" t="str">
        <f>IF(選手!B63="","",選手!B63)</f>
        <v/>
      </c>
      <c r="AA64" s="165">
        <f>IF(選手!C63="","",選手!C63)</f>
        <v>62</v>
      </c>
      <c r="AB64" s="166" t="str">
        <f>IF(選手!D63="","",選手!D63)</f>
        <v/>
      </c>
      <c r="AC64" s="165" t="str">
        <f>IF(選手!E63="","",選手!E63)</f>
        <v/>
      </c>
      <c r="AD64" s="167">
        <f>記録!D59</f>
        <v>0</v>
      </c>
      <c r="AE64" s="166">
        <f>記録!D58</f>
        <v>0.1</v>
      </c>
      <c r="AF64" s="166">
        <f>AG64+COUNTIF(AG3:AG64,AG64)-1</f>
        <v>62</v>
      </c>
      <c r="AG64" s="166">
        <f t="shared" si="38"/>
        <v>61</v>
      </c>
    </row>
    <row r="65" spans="2:33" x14ac:dyDescent="0.75">
      <c r="B65" s="144">
        <v>63</v>
      </c>
      <c r="C65" s="158">
        <f t="shared" si="25"/>
        <v>61</v>
      </c>
      <c r="D65" s="159" t="str">
        <f t="shared" si="26"/>
        <v/>
      </c>
      <c r="E65" s="158">
        <f t="shared" si="27"/>
        <v>63</v>
      </c>
      <c r="F65" s="159" t="str">
        <f t="shared" si="28"/>
        <v/>
      </c>
      <c r="G65" s="158" t="str">
        <f t="shared" si="29"/>
        <v/>
      </c>
      <c r="H65" s="160">
        <f t="shared" si="5"/>
        <v>0</v>
      </c>
      <c r="I65" s="161" t="str">
        <f t="shared" si="17"/>
        <v/>
      </c>
      <c r="J65" s="161" t="str">
        <f t="shared" si="18"/>
        <v/>
      </c>
      <c r="L65" s="162" t="str">
        <f t="shared" si="21"/>
        <v/>
      </c>
      <c r="M65" s="168" t="str">
        <f t="shared" si="30"/>
        <v/>
      </c>
      <c r="N65" s="169" t="str">
        <f t="shared" si="31"/>
        <v/>
      </c>
      <c r="O65" s="170" t="str">
        <f t="shared" si="32"/>
        <v/>
      </c>
      <c r="P65" s="171" t="str">
        <f t="shared" si="33"/>
        <v/>
      </c>
      <c r="Q65" s="162" t="str">
        <f t="shared" si="22"/>
        <v/>
      </c>
      <c r="S65" s="162" t="str">
        <f t="shared" si="23"/>
        <v/>
      </c>
      <c r="T65" s="168" t="str">
        <f t="shared" si="34"/>
        <v/>
      </c>
      <c r="U65" s="169" t="str">
        <f t="shared" si="35"/>
        <v/>
      </c>
      <c r="V65" s="170" t="str">
        <f t="shared" si="36"/>
        <v/>
      </c>
      <c r="W65" s="171" t="str">
        <f t="shared" si="37"/>
        <v/>
      </c>
      <c r="X65" s="162" t="str">
        <f t="shared" si="24"/>
        <v/>
      </c>
      <c r="Z65" s="165" t="str">
        <f>IF(選手!B64="","",選手!B64)</f>
        <v/>
      </c>
      <c r="AA65" s="165">
        <f>IF(選手!C64="","",選手!C64)</f>
        <v>63</v>
      </c>
      <c r="AB65" s="166" t="str">
        <f>IF(選手!D64="","",選手!D64)</f>
        <v/>
      </c>
      <c r="AC65" s="165" t="str">
        <f>IF(選手!E64="","",選手!E64)</f>
        <v/>
      </c>
      <c r="AD65" s="167">
        <f>記録!C59</f>
        <v>0</v>
      </c>
      <c r="AE65" s="166">
        <f>記録!C58</f>
        <v>0.1</v>
      </c>
      <c r="AF65" s="166">
        <f>AG65+COUNTIF(AG3:AG65,AG65)-1</f>
        <v>63</v>
      </c>
      <c r="AG65" s="166">
        <f t="shared" si="38"/>
        <v>61</v>
      </c>
    </row>
    <row r="66" spans="2:33" x14ac:dyDescent="0.75">
      <c r="B66" s="144">
        <v>64</v>
      </c>
      <c r="C66" s="172">
        <f t="shared" si="25"/>
        <v>61</v>
      </c>
      <c r="D66" s="173" t="str">
        <f t="shared" si="26"/>
        <v/>
      </c>
      <c r="E66" s="172">
        <f t="shared" si="27"/>
        <v>64</v>
      </c>
      <c r="F66" s="173" t="str">
        <f t="shared" si="28"/>
        <v/>
      </c>
      <c r="G66" s="172" t="str">
        <f t="shared" si="29"/>
        <v/>
      </c>
      <c r="H66" s="160">
        <f t="shared" si="5"/>
        <v>0</v>
      </c>
      <c r="I66" s="161" t="str">
        <f t="shared" si="17"/>
        <v/>
      </c>
      <c r="J66" s="161" t="str">
        <f t="shared" si="18"/>
        <v/>
      </c>
      <c r="L66" s="162" t="str">
        <f t="shared" si="21"/>
        <v/>
      </c>
      <c r="M66" s="168" t="str">
        <f t="shared" si="30"/>
        <v/>
      </c>
      <c r="N66" s="169" t="str">
        <f t="shared" si="31"/>
        <v/>
      </c>
      <c r="O66" s="170" t="str">
        <f t="shared" si="32"/>
        <v/>
      </c>
      <c r="P66" s="171" t="str">
        <f t="shared" si="33"/>
        <v/>
      </c>
      <c r="Q66" s="162" t="str">
        <f t="shared" si="22"/>
        <v/>
      </c>
      <c r="S66" s="162" t="str">
        <f t="shared" si="23"/>
        <v/>
      </c>
      <c r="T66" s="168" t="str">
        <f t="shared" si="34"/>
        <v/>
      </c>
      <c r="U66" s="169" t="str">
        <f t="shared" si="35"/>
        <v/>
      </c>
      <c r="V66" s="170" t="str">
        <f t="shared" si="36"/>
        <v/>
      </c>
      <c r="W66" s="171" t="str">
        <f t="shared" si="37"/>
        <v/>
      </c>
      <c r="X66" s="162" t="str">
        <f t="shared" si="24"/>
        <v/>
      </c>
      <c r="Z66" s="165" t="str">
        <f>IF(選手!B65="","",選手!B65)</f>
        <v/>
      </c>
      <c r="AA66" s="165">
        <f>IF(選手!C65="","",選手!C65)</f>
        <v>64</v>
      </c>
      <c r="AB66" s="166" t="str">
        <f>IF(選手!D65="","",選手!D65)</f>
        <v/>
      </c>
      <c r="AC66" s="165" t="str">
        <f>IF(選手!E65="","",選手!E65)</f>
        <v/>
      </c>
      <c r="AD66" s="167">
        <f>記録!B59</f>
        <v>0</v>
      </c>
      <c r="AE66" s="166">
        <f>記録!B58</f>
        <v>0.1</v>
      </c>
      <c r="AF66" s="166">
        <f>AG66+COUNTIF(AG3:AG66,AG66)-1</f>
        <v>64</v>
      </c>
      <c r="AG66" s="166">
        <f t="shared" si="38"/>
        <v>61</v>
      </c>
    </row>
  </sheetData>
  <mergeCells count="3">
    <mergeCell ref="C1:H1"/>
    <mergeCell ref="L1:P1"/>
    <mergeCell ref="S1:W1"/>
  </mergeCells>
  <phoneticPr fontId="1"/>
  <pageMargins left="0.7" right="0.7" top="0.75" bottom="0.75" header="0.3" footer="0.3"/>
  <pageSetup paperSize="9"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263F-38DF-4BAD-A509-E1B98011D33A}">
  <sheetPr>
    <pageSetUpPr fitToPage="1"/>
  </sheetPr>
  <dimension ref="B1:J16"/>
  <sheetViews>
    <sheetView view="pageLayout" zoomScaleNormal="100" workbookViewId="0"/>
  </sheetViews>
  <sheetFormatPr defaultColWidth="3.58203125" defaultRowHeight="38" x14ac:dyDescent="0.55000000000000004"/>
  <cols>
    <col min="1" max="1" width="3.58203125" style="1"/>
    <col min="2" max="2" width="23.58203125" style="1" customWidth="1"/>
    <col min="3" max="10" width="10.9140625" style="1" customWidth="1"/>
    <col min="11" max="11" width="3.58203125" style="1"/>
    <col min="12" max="12" width="3.9140625" style="1" bestFit="1" customWidth="1"/>
    <col min="13" max="14" width="3.58203125" style="1"/>
    <col min="15" max="15" width="3.9140625" style="1" bestFit="1" customWidth="1"/>
    <col min="16" max="16384" width="3.58203125" style="1"/>
  </cols>
  <sheetData>
    <row r="1" spans="2:10" x14ac:dyDescent="0.55000000000000004">
      <c r="B1" s="11" t="s">
        <v>2</v>
      </c>
      <c r="C1" s="207" t="str">
        <f>IF(記録!F2="","",記録!F2)</f>
        <v>日進A</v>
      </c>
      <c r="D1" s="205"/>
      <c r="E1" s="205"/>
      <c r="F1" s="205"/>
      <c r="G1" s="204" t="str">
        <f>IF(記録!J20="","",記録!J20)</f>
        <v>尾張旭B</v>
      </c>
      <c r="H1" s="205"/>
      <c r="I1" s="205"/>
      <c r="J1" s="206"/>
    </row>
    <row r="2" spans="2:10" x14ac:dyDescent="0.55000000000000004">
      <c r="B2" s="66" t="s">
        <v>3</v>
      </c>
      <c r="C2" s="211">
        <f>IF(記録!F3="","",記録!F3)</f>
        <v>15</v>
      </c>
      <c r="D2" s="209"/>
      <c r="E2" s="209"/>
      <c r="F2" s="209"/>
      <c r="G2" s="208">
        <f>IF(記録!J21="","",記録!J21)</f>
        <v>10</v>
      </c>
      <c r="H2" s="209"/>
      <c r="I2" s="209"/>
      <c r="J2" s="210"/>
    </row>
    <row r="3" spans="2:10" ht="38.5" thickBot="1" x14ac:dyDescent="0.6">
      <c r="B3" s="64" t="s">
        <v>4</v>
      </c>
      <c r="C3" s="67">
        <f>IF(記録!F5="","",記録!F5)</f>
        <v>5</v>
      </c>
      <c r="D3" s="67">
        <f>IF(記録!G5="","",記録!G5)</f>
        <v>3</v>
      </c>
      <c r="E3" s="67">
        <f>IF(記録!H5="","",記録!H5)</f>
        <v>3</v>
      </c>
      <c r="F3" s="68">
        <f>IF(記録!I5="","",記録!I5)</f>
        <v>4</v>
      </c>
      <c r="G3" s="69">
        <f>IF(記録!J23="","",記録!J23)</f>
        <v>2</v>
      </c>
      <c r="H3" s="67">
        <f>IF(記録!K23="","",記録!K23)</f>
        <v>3</v>
      </c>
      <c r="I3" s="67">
        <f>IF(記録!L23="","",記録!L23)</f>
        <v>3</v>
      </c>
      <c r="J3" s="70">
        <f>IF(記録!M23="","",記録!M23)</f>
        <v>2</v>
      </c>
    </row>
    <row r="4" spans="2:10" ht="38.5" thickTop="1" x14ac:dyDescent="0.55000000000000004">
      <c r="B4" s="12" t="s">
        <v>19</v>
      </c>
      <c r="C4" s="13">
        <f>IF(記録!F6="","",記録!F6)</f>
        <v>3</v>
      </c>
      <c r="D4" s="13">
        <f>IF(記録!G6="","",記録!G6)</f>
        <v>1</v>
      </c>
      <c r="E4" s="13">
        <f>IF(記録!H6="","",記録!H6)</f>
        <v>2</v>
      </c>
      <c r="F4" s="14">
        <f>IF(記録!I6="","",記録!I6)</f>
        <v>3</v>
      </c>
      <c r="G4" s="15" t="str">
        <f>IF(記録!J24="","",記録!J24)</f>
        <v/>
      </c>
      <c r="H4" s="13">
        <f>IF(記録!K24="","",記録!K24)</f>
        <v>1</v>
      </c>
      <c r="I4" s="13">
        <f>IF(記録!L24="","",記録!L24)</f>
        <v>1</v>
      </c>
      <c r="J4" s="16">
        <f>IF(記録!M24="","",記録!M24)</f>
        <v>0</v>
      </c>
    </row>
    <row r="5" spans="2:10" ht="51" customHeight="1" x14ac:dyDescent="0.55000000000000004">
      <c r="B5" s="17" t="s">
        <v>22</v>
      </c>
      <c r="C5" s="18" t="str">
        <f>IF(記録!F7="","",記録!F7)</f>
        <v/>
      </c>
      <c r="D5" s="18" t="str">
        <f>IF(記録!G7="","",記録!G7)</f>
        <v>〇</v>
      </c>
      <c r="E5" s="18" t="str">
        <f>IF(記録!H7="","",記録!H7)</f>
        <v/>
      </c>
      <c r="F5" s="19" t="str">
        <f>IF(記録!I7="","",記録!I7)</f>
        <v>〇</v>
      </c>
      <c r="G5" s="20" t="str">
        <f>IF(記録!J25="","",記録!J25)</f>
        <v/>
      </c>
      <c r="H5" s="18" t="str">
        <f>IF(記録!K25="","",記録!K25)</f>
        <v/>
      </c>
      <c r="I5" s="18" t="str">
        <f>IF(記録!L25="","",記録!L25)</f>
        <v/>
      </c>
      <c r="J5" s="21" t="str">
        <f>IF(記録!M25="","",記録!M25)</f>
        <v/>
      </c>
    </row>
    <row r="6" spans="2:10" ht="51" customHeight="1" x14ac:dyDescent="0.55000000000000004">
      <c r="B6" s="22" t="s">
        <v>23</v>
      </c>
      <c r="C6" s="23" t="str">
        <f>IF(記録!F8="","",記録!F8)</f>
        <v>〇</v>
      </c>
      <c r="D6" s="23" t="str">
        <f>IF(記録!G8="","",記録!G8)</f>
        <v/>
      </c>
      <c r="E6" s="23" t="str">
        <f>IF(記録!H8="","",記録!H8)</f>
        <v>〇</v>
      </c>
      <c r="F6" s="24" t="str">
        <f>IF(記録!I8="","",記録!I8)</f>
        <v/>
      </c>
      <c r="G6" s="25" t="str">
        <f>IF(記録!J26="","",記録!J26)</f>
        <v>〇</v>
      </c>
      <c r="H6" s="23" t="str">
        <f>IF(記録!K26="","",記録!K26)</f>
        <v/>
      </c>
      <c r="I6" s="23" t="str">
        <f>IF(記録!L26="","",記録!L26)</f>
        <v>〇</v>
      </c>
      <c r="J6" s="26" t="str">
        <f>IF(記録!M26="","",記録!M26)</f>
        <v/>
      </c>
    </row>
    <row r="7" spans="2:10" ht="51" customHeight="1" x14ac:dyDescent="0.55000000000000004">
      <c r="B7" s="22" t="s">
        <v>25</v>
      </c>
      <c r="C7" s="23" t="str">
        <f>IF(記録!F9="","",記録!F9)</f>
        <v>〇</v>
      </c>
      <c r="D7" s="23" t="str">
        <f>IF(記録!G9="","",記録!G9)</f>
        <v/>
      </c>
      <c r="E7" s="23" t="str">
        <f>IF(記録!H9="","",記録!H9)</f>
        <v/>
      </c>
      <c r="F7" s="24" t="str">
        <f>IF(記録!I9="","",記録!I9)</f>
        <v>〇</v>
      </c>
      <c r="G7" s="25" t="str">
        <f>IF(記録!J27="","",記録!J27)</f>
        <v/>
      </c>
      <c r="H7" s="23" t="str">
        <f>IF(記録!K27="","",記録!K27)</f>
        <v>〇</v>
      </c>
      <c r="I7" s="23" t="str">
        <f>IF(記録!L27="","",記録!L27)</f>
        <v/>
      </c>
      <c r="J7" s="26" t="str">
        <f>IF(記録!M27="","",記録!M27)</f>
        <v/>
      </c>
    </row>
    <row r="8" spans="2:10" ht="51" customHeight="1" thickBot="1" x14ac:dyDescent="0.6">
      <c r="B8" s="27" t="s">
        <v>27</v>
      </c>
      <c r="C8" s="28" t="str">
        <f>IF(記録!F10="","",記録!F10)</f>
        <v>〇</v>
      </c>
      <c r="D8" s="28" t="str">
        <f>IF(記録!G10="","",記録!G10)</f>
        <v/>
      </c>
      <c r="E8" s="28" t="str">
        <f>IF(記録!H10="","",記録!H10)</f>
        <v>〇</v>
      </c>
      <c r="F8" s="29" t="str">
        <f>IF(記録!I10="","",記録!I10)</f>
        <v>〇</v>
      </c>
      <c r="G8" s="30" t="str">
        <f>IF(記録!J28="","",記録!J28)</f>
        <v/>
      </c>
      <c r="H8" s="28" t="str">
        <f>IF(記録!K28="","",記録!K28)</f>
        <v/>
      </c>
      <c r="I8" s="28" t="str">
        <f>IF(記録!L28="","",記録!L28)</f>
        <v/>
      </c>
      <c r="J8" s="31" t="str">
        <f>IF(記録!M28="","",記録!M28)</f>
        <v/>
      </c>
    </row>
    <row r="9" spans="2:10" x14ac:dyDescent="0.55000000000000004">
      <c r="B9" s="12" t="s">
        <v>20</v>
      </c>
      <c r="C9" s="32">
        <f>IF(記録!F11="","",記録!F11)</f>
        <v>2</v>
      </c>
      <c r="D9" s="32">
        <f>IF(記録!G11="","",記録!G11)</f>
        <v>2</v>
      </c>
      <c r="E9" s="32">
        <f>IF(記録!H11="","",記録!H11)</f>
        <v>1</v>
      </c>
      <c r="F9" s="33">
        <f>IF(記録!I11="","",記録!I11)</f>
        <v>1</v>
      </c>
      <c r="G9" s="34">
        <f>IF(記録!J29="","",記録!J29)</f>
        <v>2</v>
      </c>
      <c r="H9" s="32">
        <f>IF(記録!K29="","",記録!K29)</f>
        <v>2</v>
      </c>
      <c r="I9" s="32">
        <f>IF(記録!L29="","",記録!L29)</f>
        <v>2</v>
      </c>
      <c r="J9" s="35">
        <f>IF(記録!M29="","",記録!M29)</f>
        <v>2</v>
      </c>
    </row>
    <row r="10" spans="2:10" ht="51" customHeight="1" x14ac:dyDescent="0.55000000000000004">
      <c r="B10" s="17" t="s">
        <v>22</v>
      </c>
      <c r="C10" s="18" t="str">
        <f>IF(記録!F12="","",記録!F12)</f>
        <v/>
      </c>
      <c r="D10" s="18" t="str">
        <f>IF(記録!G12="","",記録!G12)</f>
        <v>〇</v>
      </c>
      <c r="E10" s="18" t="str">
        <f>IF(記録!H12="","",記録!H12)</f>
        <v/>
      </c>
      <c r="F10" s="19" t="str">
        <f>IF(記録!I12="","",記録!I12)</f>
        <v/>
      </c>
      <c r="G10" s="20" t="str">
        <f>IF(記録!J30="","",記録!J30)</f>
        <v>〇</v>
      </c>
      <c r="H10" s="18" t="str">
        <f>IF(記録!K30="","",記録!K30)</f>
        <v>〇</v>
      </c>
      <c r="I10" s="18" t="str">
        <f>IF(記録!L30="","",記録!L30)</f>
        <v/>
      </c>
      <c r="J10" s="21" t="str">
        <f>IF(記録!M30="","",記録!M30)</f>
        <v/>
      </c>
    </row>
    <row r="11" spans="2:10" ht="51" customHeight="1" x14ac:dyDescent="0.55000000000000004">
      <c r="B11" s="22" t="s">
        <v>23</v>
      </c>
      <c r="C11" s="23" t="str">
        <f>IF(記録!F13="","",記録!F13)</f>
        <v>〇</v>
      </c>
      <c r="D11" s="23" t="str">
        <f>IF(記録!G13="","",記録!G13)</f>
        <v/>
      </c>
      <c r="E11" s="23" t="str">
        <f>IF(記録!H13="","",記録!H13)</f>
        <v>〇</v>
      </c>
      <c r="F11" s="24" t="str">
        <f>IF(記録!I13="","",記録!I13)</f>
        <v>〇</v>
      </c>
      <c r="G11" s="25" t="str">
        <f>IF(記録!J31="","",記録!J31)</f>
        <v/>
      </c>
      <c r="H11" s="23" t="str">
        <f>IF(記録!K31="","",記録!K31)</f>
        <v/>
      </c>
      <c r="I11" s="23" t="str">
        <f>IF(記録!L31="","",記録!L31)</f>
        <v>〇</v>
      </c>
      <c r="J11" s="26" t="str">
        <f>IF(記録!M31="","",記録!M31)</f>
        <v>〇</v>
      </c>
    </row>
    <row r="12" spans="2:10" ht="51" customHeight="1" x14ac:dyDescent="0.55000000000000004">
      <c r="B12" s="22" t="s">
        <v>25</v>
      </c>
      <c r="C12" s="23" t="str">
        <f>IF(記録!F14="","",記録!F14)</f>
        <v/>
      </c>
      <c r="D12" s="23" t="str">
        <f>IF(記録!G14="","",記録!G14)</f>
        <v/>
      </c>
      <c r="E12" s="23" t="str">
        <f>IF(記録!H14="","",記録!H14)</f>
        <v/>
      </c>
      <c r="F12" s="24" t="str">
        <f>IF(記録!I14="","",記録!I14)</f>
        <v/>
      </c>
      <c r="G12" s="25" t="str">
        <f>IF(記録!J32="","",記録!J32)</f>
        <v/>
      </c>
      <c r="H12" s="23" t="str">
        <f>IF(記録!K32="","",記録!K32)</f>
        <v>〇</v>
      </c>
      <c r="I12" s="23" t="str">
        <f>IF(記録!L32="","",記録!L32)</f>
        <v/>
      </c>
      <c r="J12" s="26" t="str">
        <f>IF(記録!M32="","",記録!M32)</f>
        <v>〇</v>
      </c>
    </row>
    <row r="13" spans="2:10" ht="51" customHeight="1" thickBot="1" x14ac:dyDescent="0.6">
      <c r="B13" s="27" t="s">
        <v>27</v>
      </c>
      <c r="C13" s="28" t="str">
        <f>IF(記録!F15="","",記録!F15)</f>
        <v>〇</v>
      </c>
      <c r="D13" s="28" t="str">
        <f>IF(記録!G15="","",記録!G15)</f>
        <v>〇</v>
      </c>
      <c r="E13" s="28" t="str">
        <f>IF(記録!H15="","",記録!H15)</f>
        <v/>
      </c>
      <c r="F13" s="29" t="str">
        <f>IF(記録!I15="","",記録!I15)</f>
        <v/>
      </c>
      <c r="G13" s="30" t="str">
        <f>IF(記録!J33="","",記録!J33)</f>
        <v>〇</v>
      </c>
      <c r="H13" s="28" t="str">
        <f>IF(記録!K33="","",記録!K33)</f>
        <v/>
      </c>
      <c r="I13" s="28" t="str">
        <f>IF(記録!L33="","",記録!L33)</f>
        <v>〇</v>
      </c>
      <c r="J13" s="31" t="str">
        <f>IF(記録!M33="","",記録!M33)</f>
        <v/>
      </c>
    </row>
    <row r="14" spans="2:10" x14ac:dyDescent="0.55000000000000004">
      <c r="B14" s="12" t="s">
        <v>18</v>
      </c>
      <c r="C14" s="32">
        <f>IF(記録!F16="","",記録!F16)</f>
        <v>20</v>
      </c>
      <c r="D14" s="32">
        <f>IF(記録!G16="","",記録!G16)</f>
        <v>19</v>
      </c>
      <c r="E14" s="32">
        <f>IF(記録!H16="","",記録!H16)</f>
        <v>18</v>
      </c>
      <c r="F14" s="33">
        <f>IF(記録!I16="","",記録!I16)</f>
        <v>17</v>
      </c>
      <c r="G14" s="34">
        <f>IF(記録!J34="","",記録!J34)</f>
        <v>40</v>
      </c>
      <c r="H14" s="32">
        <f>IF(記録!K34="","",記録!K34)</f>
        <v>39</v>
      </c>
      <c r="I14" s="32">
        <f>IF(記録!L34="","",記録!L34)</f>
        <v>38</v>
      </c>
      <c r="J14" s="35">
        <f>IF(記録!M34="","",記録!M34)</f>
        <v>37</v>
      </c>
    </row>
    <row r="15" spans="2:10" x14ac:dyDescent="0.55000000000000004">
      <c r="B15" s="12" t="s">
        <v>35</v>
      </c>
      <c r="C15" s="36" t="str">
        <f>IF(記録!F17="","",記録!F17)</f>
        <v>男</v>
      </c>
      <c r="D15" s="36" t="str">
        <f>IF(記録!G17="","",記録!G17)</f>
        <v>男</v>
      </c>
      <c r="E15" s="36" t="str">
        <f>IF(記録!H17="","",記録!H17)</f>
        <v>男</v>
      </c>
      <c r="F15" s="37" t="str">
        <f>IF(記録!I17="","",記録!I17)</f>
        <v>男</v>
      </c>
      <c r="G15" s="38" t="str">
        <f>IF(記録!J35="","",記録!J35)</f>
        <v>女</v>
      </c>
      <c r="H15" s="36" t="str">
        <f>IF(記録!K35="","",記録!K35)</f>
        <v>女</v>
      </c>
      <c r="I15" s="36" t="str">
        <f>IF(記録!L35="","",記録!L35)</f>
        <v>女</v>
      </c>
      <c r="J15" s="39" t="str">
        <f>IF(記録!M35="","",記録!M35)</f>
        <v>女</v>
      </c>
    </row>
    <row r="16" spans="2:10" ht="245" customHeight="1" thickBot="1" x14ac:dyDescent="0.6">
      <c r="B16" s="3" t="s">
        <v>58</v>
      </c>
      <c r="C16" s="4" t="str">
        <f>IF(記録!F18="","",記録!F18)</f>
        <v>志手 俊二</v>
      </c>
      <c r="D16" s="4" t="str">
        <f>IF(記録!G18="","",記録!G18)</f>
        <v>谷田 直樹</v>
      </c>
      <c r="E16" s="4" t="str">
        <f>IF(記録!H18="","",記録!H18)</f>
        <v>笠井 大督</v>
      </c>
      <c r="F16" s="5" t="str">
        <f>IF(記録!I18="","",記録!I18)</f>
        <v>新美 友治</v>
      </c>
      <c r="G16" s="6" t="str">
        <f>IF(記録!J36="","",記録!J36)</f>
        <v>加藤 康子</v>
      </c>
      <c r="H16" s="4" t="str">
        <f>IF(記録!K36="","",記録!K36)</f>
        <v>安達 初枝</v>
      </c>
      <c r="I16" s="4" t="str">
        <f>IF(記録!L36="","",記録!L36)</f>
        <v>北川 裕希子</v>
      </c>
      <c r="J16" s="7" t="str">
        <f>IF(記録!M36="","",記録!M36)</f>
        <v>田中 沙紀子</v>
      </c>
    </row>
  </sheetData>
  <mergeCells count="4">
    <mergeCell ref="G1:J1"/>
    <mergeCell ref="C1:F1"/>
    <mergeCell ref="G2:J2"/>
    <mergeCell ref="C2:F2"/>
  </mergeCells>
  <phoneticPr fontId="1"/>
  <pageMargins left="0.23622047244094491" right="0.23622047244094491" top="1.0533333333333332" bottom="0.74803149606299213" header="0.31496062992125984" footer="0.31496062992125984"/>
  <pageSetup paperSize="9" scale="75" orientation="portrait" r:id="rId1"/>
  <headerFooter>
    <oddHeader>&amp;C&amp;"メイリオ,ボールド"&amp;28 2021 東尾張エリア弓道大会　チーム記録</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C22B-17AE-48CD-8C14-E5C81423B1E4}">
  <sheetPr>
    <pageSetUpPr fitToPage="1"/>
  </sheetPr>
  <dimension ref="B1:J16"/>
  <sheetViews>
    <sheetView view="pageLayout" zoomScaleNormal="100" workbookViewId="0"/>
  </sheetViews>
  <sheetFormatPr defaultColWidth="3.58203125" defaultRowHeight="38" x14ac:dyDescent="0.55000000000000004"/>
  <cols>
    <col min="1" max="1" width="3.58203125" style="1"/>
    <col min="2" max="2" width="23.58203125" style="1" customWidth="1"/>
    <col min="3" max="10" width="10.9140625" style="1" customWidth="1"/>
    <col min="11" max="11" width="3.58203125" style="1"/>
    <col min="12" max="12" width="3.9140625" style="1" bestFit="1" customWidth="1"/>
    <col min="13" max="14" width="3.58203125" style="1"/>
    <col min="15" max="15" width="3.9140625" style="1" bestFit="1" customWidth="1"/>
    <col min="16" max="16384" width="3.58203125" style="1"/>
  </cols>
  <sheetData>
    <row r="1" spans="2:10" x14ac:dyDescent="0.55000000000000004">
      <c r="B1" s="11" t="s">
        <v>2</v>
      </c>
      <c r="C1" s="207" t="str">
        <f>IF(記録!N2="","",記録!N2)</f>
        <v>豊明A</v>
      </c>
      <c r="D1" s="205"/>
      <c r="E1" s="205"/>
      <c r="F1" s="205"/>
      <c r="G1" s="204" t="str">
        <f>IF(記録!J2="","",記録!J2)</f>
        <v>豊明B</v>
      </c>
      <c r="H1" s="205"/>
      <c r="I1" s="205"/>
      <c r="J1" s="206"/>
    </row>
    <row r="2" spans="2:10" x14ac:dyDescent="0.55000000000000004">
      <c r="B2" s="66" t="s">
        <v>3</v>
      </c>
      <c r="C2" s="211">
        <f>IF(記録!N3="","",記録!N3)</f>
        <v>12</v>
      </c>
      <c r="D2" s="209"/>
      <c r="E2" s="209"/>
      <c r="F2" s="209"/>
      <c r="G2" s="208">
        <f>IF(記録!J3="","",記録!J3)</f>
        <v>14</v>
      </c>
      <c r="H2" s="209"/>
      <c r="I2" s="209"/>
      <c r="J2" s="210"/>
    </row>
    <row r="3" spans="2:10" ht="38.5" thickBot="1" x14ac:dyDescent="0.6">
      <c r="B3" s="64" t="s">
        <v>4</v>
      </c>
      <c r="C3" s="67">
        <f>IF(記録!N5="","",記録!N5)</f>
        <v>3</v>
      </c>
      <c r="D3" s="75">
        <f>IF(記録!O5="","",記録!O5)</f>
        <v>3</v>
      </c>
      <c r="E3" s="75">
        <f>IF(記録!P5="","",記録!P5)</f>
        <v>3</v>
      </c>
      <c r="F3" s="76">
        <f>IF(記録!Q5="","",記録!Q5)</f>
        <v>3</v>
      </c>
      <c r="G3" s="69">
        <f>IF(記録!J5="","",記録!J5)</f>
        <v>2</v>
      </c>
      <c r="H3" s="75">
        <f>IF(記録!K5="","",記録!K5)</f>
        <v>5</v>
      </c>
      <c r="I3" s="75">
        <f>IF(記録!L5="","",記録!L5)</f>
        <v>3</v>
      </c>
      <c r="J3" s="77">
        <f>IF(記録!M5="","",記録!M5)</f>
        <v>4</v>
      </c>
    </row>
    <row r="4" spans="2:10" ht="38.5" thickTop="1" x14ac:dyDescent="0.55000000000000004">
      <c r="B4" s="12" t="s">
        <v>19</v>
      </c>
      <c r="C4" s="13">
        <f>IF(記録!N6="","",記録!N6)</f>
        <v>2</v>
      </c>
      <c r="D4" s="45">
        <f>IF(記録!O6="","",記録!O6)</f>
        <v>2</v>
      </c>
      <c r="E4" s="45">
        <f>IF(記録!P6="","",記録!P6)</f>
        <v>1</v>
      </c>
      <c r="F4" s="46">
        <f>IF(記録!Q6="","",記録!Q6)</f>
        <v>1</v>
      </c>
      <c r="G4" s="15">
        <f>IF(記録!J6="","",記録!J6)</f>
        <v>1</v>
      </c>
      <c r="H4" s="45">
        <f>IF(記録!K6="","",記録!K6)</f>
        <v>3</v>
      </c>
      <c r="I4" s="45">
        <f>IF(記録!L6="","",記録!L6)</f>
        <v>1</v>
      </c>
      <c r="J4" s="47">
        <f>IF(記録!M6="","",記録!M6)</f>
        <v>2</v>
      </c>
    </row>
    <row r="5" spans="2:10" ht="51" customHeight="1" x14ac:dyDescent="0.55000000000000004">
      <c r="B5" s="17" t="s">
        <v>22</v>
      </c>
      <c r="C5" s="18" t="str">
        <f>IF(記録!N7="","",記録!N7)</f>
        <v>〇</v>
      </c>
      <c r="D5" s="48" t="str">
        <f>IF(記録!O7="","",記録!O7)</f>
        <v>〇</v>
      </c>
      <c r="E5" s="48" t="str">
        <f>IF(記録!P7="","",記録!P7)</f>
        <v/>
      </c>
      <c r="F5" s="49" t="str">
        <f>IF(記録!Q7="","",記録!Q7)</f>
        <v>〇</v>
      </c>
      <c r="G5" s="20" t="str">
        <f>IF(記録!J7="","",記録!J7)</f>
        <v/>
      </c>
      <c r="H5" s="48" t="str">
        <f>IF(記録!K7="","",記録!K7)</f>
        <v>〇</v>
      </c>
      <c r="I5" s="48" t="str">
        <f>IF(記録!L7="","",記録!L7)</f>
        <v/>
      </c>
      <c r="J5" s="50" t="str">
        <f>IF(記録!M7="","",記録!M7)</f>
        <v>〇</v>
      </c>
    </row>
    <row r="6" spans="2:10" ht="51" customHeight="1" x14ac:dyDescent="0.55000000000000004">
      <c r="B6" s="22" t="s">
        <v>23</v>
      </c>
      <c r="C6" s="23" t="str">
        <f>IF(記録!N8="","",記録!N8)</f>
        <v/>
      </c>
      <c r="D6" s="51" t="str">
        <f>IF(記録!O8="","",記録!O8)</f>
        <v/>
      </c>
      <c r="E6" s="51" t="str">
        <f>IF(記録!P8="","",記録!P8)</f>
        <v/>
      </c>
      <c r="F6" s="52" t="str">
        <f>IF(記録!Q8="","",記録!Q8)</f>
        <v/>
      </c>
      <c r="G6" s="25" t="str">
        <f>IF(記録!J8="","",記録!J8)</f>
        <v>〇</v>
      </c>
      <c r="H6" s="51" t="str">
        <f>IF(記録!K8="","",記録!K8)</f>
        <v/>
      </c>
      <c r="I6" s="51" t="str">
        <f>IF(記録!L8="","",記録!L8)</f>
        <v>〇</v>
      </c>
      <c r="J6" s="53" t="str">
        <f>IF(記録!M8="","",記録!M8)</f>
        <v/>
      </c>
    </row>
    <row r="7" spans="2:10" ht="51" customHeight="1" x14ac:dyDescent="0.55000000000000004">
      <c r="B7" s="22" t="s">
        <v>25</v>
      </c>
      <c r="C7" s="23" t="str">
        <f>IF(記録!N9="","",記録!N9)</f>
        <v/>
      </c>
      <c r="D7" s="51" t="str">
        <f>IF(記録!O9="","",記録!O9)</f>
        <v/>
      </c>
      <c r="E7" s="51" t="str">
        <f>IF(記録!P9="","",記録!P9)</f>
        <v>〇</v>
      </c>
      <c r="F7" s="52" t="str">
        <f>IF(記録!Q9="","",記録!Q9)</f>
        <v/>
      </c>
      <c r="G7" s="25" t="str">
        <f>IF(記録!J9="","",記録!J9)</f>
        <v/>
      </c>
      <c r="H7" s="51" t="str">
        <f>IF(記録!K9="","",記録!K9)</f>
        <v>〇</v>
      </c>
      <c r="I7" s="51" t="str">
        <f>IF(記録!L9="","",記録!L9)</f>
        <v/>
      </c>
      <c r="J7" s="53" t="str">
        <f>IF(記録!M9="","",記録!M9)</f>
        <v>〇</v>
      </c>
    </row>
    <row r="8" spans="2:10" ht="51" customHeight="1" thickBot="1" x14ac:dyDescent="0.6">
      <c r="B8" s="27" t="s">
        <v>27</v>
      </c>
      <c r="C8" s="28" t="str">
        <f>IF(記録!N10="","",記録!N10)</f>
        <v>〇</v>
      </c>
      <c r="D8" s="54" t="str">
        <f>IF(記録!O10="","",記録!O10)</f>
        <v>〇</v>
      </c>
      <c r="E8" s="54" t="str">
        <f>IF(記録!P10="","",記録!P10)</f>
        <v/>
      </c>
      <c r="F8" s="55" t="str">
        <f>IF(記録!Q10="","",記録!Q10)</f>
        <v/>
      </c>
      <c r="G8" s="30" t="str">
        <f>IF(記録!J10="","",記録!J10)</f>
        <v/>
      </c>
      <c r="H8" s="54" t="str">
        <f>IF(記録!K10="","",記録!K10)</f>
        <v>〇</v>
      </c>
      <c r="I8" s="54" t="str">
        <f>IF(記録!L10="","",記録!L10)</f>
        <v/>
      </c>
      <c r="J8" s="56" t="str">
        <f>IF(記録!M10="","",記録!M10)</f>
        <v/>
      </c>
    </row>
    <row r="9" spans="2:10" x14ac:dyDescent="0.55000000000000004">
      <c r="B9" s="12" t="s">
        <v>20</v>
      </c>
      <c r="C9" s="32">
        <f>IF(記録!N11="","",記録!N11)</f>
        <v>1</v>
      </c>
      <c r="D9" s="57">
        <f>IF(記録!O11="","",記録!O11)</f>
        <v>1</v>
      </c>
      <c r="E9" s="57">
        <f>IF(記録!P11="","",記録!P11)</f>
        <v>2</v>
      </c>
      <c r="F9" s="58">
        <f>IF(記録!Q11="","",記録!Q11)</f>
        <v>2</v>
      </c>
      <c r="G9" s="34">
        <f>IF(記録!J11="","",記録!J11)</f>
        <v>1</v>
      </c>
      <c r="H9" s="57">
        <f>IF(記録!K11="","",記録!K11)</f>
        <v>2</v>
      </c>
      <c r="I9" s="57">
        <f>IF(記録!L11="","",記録!L11)</f>
        <v>2</v>
      </c>
      <c r="J9" s="59">
        <f>IF(記録!M11="","",記録!M11)</f>
        <v>2</v>
      </c>
    </row>
    <row r="10" spans="2:10" ht="51" customHeight="1" x14ac:dyDescent="0.55000000000000004">
      <c r="B10" s="17" t="s">
        <v>22</v>
      </c>
      <c r="C10" s="18" t="str">
        <f>IF(記録!N12="","",記録!N12)</f>
        <v/>
      </c>
      <c r="D10" s="48" t="str">
        <f>IF(記録!O12="","",記録!O12)</f>
        <v/>
      </c>
      <c r="E10" s="48" t="str">
        <f>IF(記録!P12="","",記録!P12)</f>
        <v>〇</v>
      </c>
      <c r="F10" s="49" t="str">
        <f>IF(記録!Q12="","",記録!Q12)</f>
        <v/>
      </c>
      <c r="G10" s="20" t="str">
        <f>IF(記録!J12="","",記録!J12)</f>
        <v/>
      </c>
      <c r="H10" s="48" t="str">
        <f>IF(記録!K12="","",記録!K12)</f>
        <v/>
      </c>
      <c r="I10" s="48" t="str">
        <f>IF(記録!L12="","",記録!L12)</f>
        <v>〇</v>
      </c>
      <c r="J10" s="50" t="str">
        <f>IF(記録!M12="","",記録!M12)</f>
        <v>〇</v>
      </c>
    </row>
    <row r="11" spans="2:10" ht="51" customHeight="1" x14ac:dyDescent="0.55000000000000004">
      <c r="B11" s="22" t="s">
        <v>23</v>
      </c>
      <c r="C11" s="23" t="str">
        <f>IF(記録!N13="","",記録!N13)</f>
        <v>〇</v>
      </c>
      <c r="D11" s="51" t="str">
        <f>IF(記録!O13="","",記録!O13)</f>
        <v/>
      </c>
      <c r="E11" s="51" t="str">
        <f>IF(記録!P13="","",記録!P13)</f>
        <v/>
      </c>
      <c r="F11" s="52" t="str">
        <f>IF(記録!Q13="","",記録!Q13)</f>
        <v/>
      </c>
      <c r="G11" s="25" t="str">
        <f>IF(記録!J13="","",記録!J13)</f>
        <v>〇</v>
      </c>
      <c r="H11" s="51" t="str">
        <f>IF(記録!K13="","",記録!K13)</f>
        <v>〇</v>
      </c>
      <c r="I11" s="51" t="str">
        <f>IF(記録!L13="","",記録!L13)</f>
        <v/>
      </c>
      <c r="J11" s="53" t="str">
        <f>IF(記録!M13="","",記録!M13)</f>
        <v/>
      </c>
    </row>
    <row r="12" spans="2:10" ht="51" customHeight="1" x14ac:dyDescent="0.55000000000000004">
      <c r="B12" s="22" t="s">
        <v>25</v>
      </c>
      <c r="C12" s="23" t="str">
        <f>IF(記録!N14="","",記録!N14)</f>
        <v/>
      </c>
      <c r="D12" s="51" t="str">
        <f>IF(記録!O14="","",記録!O14)</f>
        <v/>
      </c>
      <c r="E12" s="51" t="str">
        <f>IF(記録!P14="","",記録!P14)</f>
        <v>〇</v>
      </c>
      <c r="F12" s="52" t="str">
        <f>IF(記録!Q14="","",記録!Q14)</f>
        <v>〇</v>
      </c>
      <c r="G12" s="25" t="str">
        <f>IF(記録!J14="","",記録!J14)</f>
        <v/>
      </c>
      <c r="H12" s="51" t="str">
        <f>IF(記録!K14="","",記録!K14)</f>
        <v>〇</v>
      </c>
      <c r="I12" s="51" t="str">
        <f>IF(記録!L14="","",記録!L14)</f>
        <v>〇</v>
      </c>
      <c r="J12" s="53" t="str">
        <f>IF(記録!M14="","",記録!M14)</f>
        <v/>
      </c>
    </row>
    <row r="13" spans="2:10" ht="51" customHeight="1" thickBot="1" x14ac:dyDescent="0.6">
      <c r="B13" s="27" t="s">
        <v>27</v>
      </c>
      <c r="C13" s="28" t="str">
        <f>IF(記録!N15="","",記録!N15)</f>
        <v/>
      </c>
      <c r="D13" s="54" t="str">
        <f>IF(記録!O15="","",記録!O15)</f>
        <v>〇</v>
      </c>
      <c r="E13" s="54" t="str">
        <f>IF(記録!P15="","",記録!P15)</f>
        <v/>
      </c>
      <c r="F13" s="55" t="str">
        <f>IF(記録!Q15="","",記録!Q15)</f>
        <v>〇</v>
      </c>
      <c r="G13" s="30" t="str">
        <f>IF(記録!J15="","",記録!J15)</f>
        <v/>
      </c>
      <c r="H13" s="54" t="str">
        <f>IF(記録!K15="","",記録!K15)</f>
        <v/>
      </c>
      <c r="I13" s="54" t="str">
        <f>IF(記録!L15="","",記録!L15)</f>
        <v/>
      </c>
      <c r="J13" s="56" t="str">
        <f>IF(記録!M15="","",記録!M15)</f>
        <v>〇</v>
      </c>
    </row>
    <row r="14" spans="2:10" x14ac:dyDescent="0.55000000000000004">
      <c r="B14" s="12" t="s">
        <v>18</v>
      </c>
      <c r="C14" s="32">
        <f>IF(記録!N16="","",記録!N16)</f>
        <v>12</v>
      </c>
      <c r="D14" s="57">
        <f>IF(記録!O16="","",記録!O16)</f>
        <v>11</v>
      </c>
      <c r="E14" s="57">
        <f>IF(記録!P16="","",記録!P16)</f>
        <v>10</v>
      </c>
      <c r="F14" s="58">
        <f>IF(記録!Q16="","",記録!Q16)</f>
        <v>9</v>
      </c>
      <c r="G14" s="34">
        <f>IF(記録!J16="","",記録!J16)</f>
        <v>16</v>
      </c>
      <c r="H14" s="57">
        <f>IF(記録!K16="","",記録!K16)</f>
        <v>15</v>
      </c>
      <c r="I14" s="57">
        <f>IF(記録!L16="","",記録!L16)</f>
        <v>14</v>
      </c>
      <c r="J14" s="59">
        <f>IF(記録!M16="","",記録!M16)</f>
        <v>13</v>
      </c>
    </row>
    <row r="15" spans="2:10" x14ac:dyDescent="0.55000000000000004">
      <c r="B15" s="12" t="s">
        <v>35</v>
      </c>
      <c r="C15" s="36" t="str">
        <f>IF(記録!N17="","",記録!N17)</f>
        <v>男</v>
      </c>
      <c r="D15" s="60" t="str">
        <f>IF(記録!O17="","",記録!O17)</f>
        <v>男</v>
      </c>
      <c r="E15" s="60" t="str">
        <f>IF(記録!P17="","",記録!P17)</f>
        <v>男</v>
      </c>
      <c r="F15" s="61" t="str">
        <f>IF(記録!Q17="","",記録!Q17)</f>
        <v>男</v>
      </c>
      <c r="G15" s="38" t="str">
        <f>IF(記録!J17="","",記録!J17)</f>
        <v>女</v>
      </c>
      <c r="H15" s="60" t="str">
        <f>IF(記録!K17="","",記録!K17)</f>
        <v>女</v>
      </c>
      <c r="I15" s="60" t="str">
        <f>IF(記録!L17="","",記録!L17)</f>
        <v>女</v>
      </c>
      <c r="J15" s="62" t="str">
        <f>IF(記録!M17="","",記録!M17)</f>
        <v>女</v>
      </c>
    </row>
    <row r="16" spans="2:10" ht="245" customHeight="1" thickBot="1" x14ac:dyDescent="0.6">
      <c r="B16" s="3" t="s">
        <v>58</v>
      </c>
      <c r="C16" s="4" t="str">
        <f>IF(記録!N18="","",記録!N18)</f>
        <v>榊原 隆一</v>
      </c>
      <c r="D16" s="8" t="str">
        <f>IF(記録!O18="","",記録!O18)</f>
        <v>外山 康彦</v>
      </c>
      <c r="E16" s="8" t="str">
        <f>IF(記録!P18="","",記録!P18)</f>
        <v>近藤 治</v>
      </c>
      <c r="F16" s="9" t="str">
        <f>IF(記録!Q18="","",記録!Q18)</f>
        <v>近藤 雄介</v>
      </c>
      <c r="G16" s="6" t="str">
        <f>IF(記録!J18="","",記録!J18)</f>
        <v>谷口 祥子</v>
      </c>
      <c r="H16" s="8" t="str">
        <f>IF(記録!K18="","",記録!K18)</f>
        <v>樋田 良子</v>
      </c>
      <c r="I16" s="8" t="str">
        <f>IF(記録!L18="","",記録!L18)</f>
        <v>深見 裕子</v>
      </c>
      <c r="J16" s="10" t="str">
        <f>IF(記録!M18="","",記録!M18)</f>
        <v>堀井 恵美子</v>
      </c>
    </row>
  </sheetData>
  <mergeCells count="4">
    <mergeCell ref="G1:J1"/>
    <mergeCell ref="C1:F1"/>
    <mergeCell ref="G2:J2"/>
    <mergeCell ref="C2:F2"/>
  </mergeCells>
  <phoneticPr fontId="1"/>
  <pageMargins left="0.23622047244094491" right="0.23622047244094491" top="1.0533333333333332" bottom="0.74803149606299213" header="0.31496062992125984" footer="0.31496062992125984"/>
  <pageSetup paperSize="9" scale="75" orientation="portrait" r:id="rId1"/>
  <headerFooter>
    <oddHeader>&amp;C&amp;"メイリオ,ボールド"&amp;28 2021 東尾張エリア弓道大会　チーム記録</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BD5EF-4909-4B26-B460-5B7F09896589}">
  <sheetPr>
    <pageSetUpPr fitToPage="1"/>
  </sheetPr>
  <dimension ref="B1:J16"/>
  <sheetViews>
    <sheetView view="pageLayout" zoomScaleNormal="100" workbookViewId="0"/>
  </sheetViews>
  <sheetFormatPr defaultColWidth="3.58203125" defaultRowHeight="38" x14ac:dyDescent="0.55000000000000004"/>
  <cols>
    <col min="1" max="1" width="3.58203125" style="1"/>
    <col min="2" max="2" width="23.58203125" style="1" customWidth="1"/>
    <col min="3" max="10" width="10.9140625" style="1" customWidth="1"/>
    <col min="11" max="16384" width="3.58203125" style="1"/>
  </cols>
  <sheetData>
    <row r="1" spans="2:10" x14ac:dyDescent="0.55000000000000004">
      <c r="B1" s="11" t="s">
        <v>2</v>
      </c>
      <c r="C1" s="207" t="str">
        <f>IF(記録!B2="","",記録!B2)</f>
        <v>日進B</v>
      </c>
      <c r="D1" s="205"/>
      <c r="E1" s="205"/>
      <c r="F1" s="205"/>
      <c r="G1" s="204" t="str">
        <f>IF(記録!V20="","",記録!V20)</f>
        <v>長久手A</v>
      </c>
      <c r="H1" s="205"/>
      <c r="I1" s="205"/>
      <c r="J1" s="206"/>
    </row>
    <row r="2" spans="2:10" x14ac:dyDescent="0.55000000000000004">
      <c r="B2" s="66" t="s">
        <v>3</v>
      </c>
      <c r="C2" s="211">
        <f>IF(記録!B3="","",記録!B3)</f>
        <v>17</v>
      </c>
      <c r="D2" s="209"/>
      <c r="E2" s="209"/>
      <c r="F2" s="209"/>
      <c r="G2" s="208">
        <f>IF(記録!V21="","",記録!V21)</f>
        <v>20</v>
      </c>
      <c r="H2" s="209"/>
      <c r="I2" s="209"/>
      <c r="J2" s="210"/>
    </row>
    <row r="3" spans="2:10" ht="38.5" thickBot="1" x14ac:dyDescent="0.6">
      <c r="B3" s="64" t="s">
        <v>4</v>
      </c>
      <c r="C3" s="67">
        <f>IF(記録!B5="","",記録!B5)</f>
        <v>6</v>
      </c>
      <c r="D3" s="67">
        <f>IF(記録!C5="","",記録!C5)</f>
        <v>3</v>
      </c>
      <c r="E3" s="67">
        <f>IF(記録!D5="","",記録!D5)</f>
        <v>4</v>
      </c>
      <c r="F3" s="68">
        <f>IF(記録!E5="","",記録!E5)</f>
        <v>4</v>
      </c>
      <c r="G3" s="69">
        <f>IF(記録!V23="","",記録!V23)</f>
        <v>4</v>
      </c>
      <c r="H3" s="67">
        <f>IF(記録!W23="","",記録!W23)</f>
        <v>7</v>
      </c>
      <c r="I3" s="67">
        <f>IF(記録!X23="","",記録!X23)</f>
        <v>4</v>
      </c>
      <c r="J3" s="70">
        <f>IF(記録!Y23="","",記録!Y23)</f>
        <v>5</v>
      </c>
    </row>
    <row r="4" spans="2:10" ht="38.5" thickTop="1" x14ac:dyDescent="0.55000000000000004">
      <c r="B4" s="12" t="s">
        <v>19</v>
      </c>
      <c r="C4" s="13">
        <f>IF(記録!B6="","",記録!B6)</f>
        <v>3</v>
      </c>
      <c r="D4" s="13">
        <f>IF(記録!C6="","",記録!C6)</f>
        <v>2</v>
      </c>
      <c r="E4" s="13">
        <f>IF(記録!D6="","",記録!D6)</f>
        <v>2</v>
      </c>
      <c r="F4" s="14">
        <f>IF(記録!E6="","",記録!E6)</f>
        <v>2</v>
      </c>
      <c r="G4" s="15">
        <f>IF(記録!V24="","",記録!V24)</f>
        <v>2</v>
      </c>
      <c r="H4" s="13">
        <f>IF(記録!W24="","",記録!W24)</f>
        <v>4</v>
      </c>
      <c r="I4" s="13">
        <f>IF(記録!X24="","",記録!X24)</f>
        <v>2</v>
      </c>
      <c r="J4" s="16">
        <f>IF(記録!Y24="","",記録!Y24)</f>
        <v>2</v>
      </c>
    </row>
    <row r="5" spans="2:10" ht="51" customHeight="1" x14ac:dyDescent="0.55000000000000004">
      <c r="B5" s="17" t="s">
        <v>22</v>
      </c>
      <c r="C5" s="18" t="str">
        <f>IF(記録!B7="","",記録!B7)</f>
        <v>〇</v>
      </c>
      <c r="D5" s="18" t="str">
        <f>IF(記録!C7="","",記録!C7)</f>
        <v>〇</v>
      </c>
      <c r="E5" s="18" t="str">
        <f>IF(記録!D7="","",記録!D7)</f>
        <v/>
      </c>
      <c r="F5" s="19" t="str">
        <f>IF(記録!E7="","",記録!E7)</f>
        <v/>
      </c>
      <c r="G5" s="20" t="str">
        <f>IF(記録!V25="","",記録!V25)</f>
        <v/>
      </c>
      <c r="H5" s="18" t="str">
        <f>IF(記録!W25="","",記録!W25)</f>
        <v>〇</v>
      </c>
      <c r="I5" s="18" t="str">
        <f>IF(記録!X25="","",記録!X25)</f>
        <v/>
      </c>
      <c r="J5" s="21" t="str">
        <f>IF(記録!Y25="","",記録!Y25)</f>
        <v>〇</v>
      </c>
    </row>
    <row r="6" spans="2:10" ht="51" customHeight="1" x14ac:dyDescent="0.55000000000000004">
      <c r="B6" s="22" t="s">
        <v>23</v>
      </c>
      <c r="C6" s="23" t="str">
        <f>IF(記録!B8="","",記録!B8)</f>
        <v>〇</v>
      </c>
      <c r="D6" s="23" t="str">
        <f>IF(記録!C8="","",記録!C8)</f>
        <v>〇</v>
      </c>
      <c r="E6" s="23" t="str">
        <f>IF(記録!D8="","",記録!D8)</f>
        <v/>
      </c>
      <c r="F6" s="24" t="str">
        <f>IF(記録!E8="","",記録!E8)</f>
        <v>〇</v>
      </c>
      <c r="G6" s="25" t="str">
        <f>IF(記録!V26="","",記録!V26)</f>
        <v>〇</v>
      </c>
      <c r="H6" s="23" t="str">
        <f>IF(記録!W26="","",記録!W26)</f>
        <v>〇</v>
      </c>
      <c r="I6" s="23" t="str">
        <f>IF(記録!X26="","",記録!X26)</f>
        <v>〇</v>
      </c>
      <c r="J6" s="26" t="str">
        <f>IF(記録!Y26="","",記録!Y26)</f>
        <v>〇</v>
      </c>
    </row>
    <row r="7" spans="2:10" ht="51" customHeight="1" x14ac:dyDescent="0.55000000000000004">
      <c r="B7" s="22" t="s">
        <v>25</v>
      </c>
      <c r="C7" s="23" t="str">
        <f>IF(記録!B9="","",記録!B9)</f>
        <v/>
      </c>
      <c r="D7" s="23" t="str">
        <f>IF(記録!C9="","",記録!C9)</f>
        <v/>
      </c>
      <c r="E7" s="23" t="str">
        <f>IF(記録!D9="","",記録!D9)</f>
        <v>〇</v>
      </c>
      <c r="F7" s="24" t="str">
        <f>IF(記録!E9="","",記録!E9)</f>
        <v>〇</v>
      </c>
      <c r="G7" s="25" t="str">
        <f>IF(記録!V27="","",記録!V27)</f>
        <v>〇</v>
      </c>
      <c r="H7" s="23" t="str">
        <f>IF(記録!W27="","",記録!W27)</f>
        <v>〇</v>
      </c>
      <c r="I7" s="23" t="str">
        <f>IF(記録!X27="","",記録!X27)</f>
        <v/>
      </c>
      <c r="J7" s="26" t="str">
        <f>IF(記録!Y27="","",記録!Y27)</f>
        <v/>
      </c>
    </row>
    <row r="8" spans="2:10" ht="51" customHeight="1" thickBot="1" x14ac:dyDescent="0.6">
      <c r="B8" s="27" t="s">
        <v>27</v>
      </c>
      <c r="C8" s="28" t="str">
        <f>IF(記録!B10="","",記録!B10)</f>
        <v>〇</v>
      </c>
      <c r="D8" s="28" t="str">
        <f>IF(記録!C10="","",記録!C10)</f>
        <v/>
      </c>
      <c r="E8" s="28" t="str">
        <f>IF(記録!D10="","",記録!D10)</f>
        <v>〇</v>
      </c>
      <c r="F8" s="29" t="str">
        <f>IF(記録!E10="","",記録!E10)</f>
        <v/>
      </c>
      <c r="G8" s="30" t="str">
        <f>IF(記録!V28="","",記録!V28)</f>
        <v/>
      </c>
      <c r="H8" s="28" t="str">
        <f>IF(記録!W28="","",記録!W28)</f>
        <v>〇</v>
      </c>
      <c r="I8" s="28" t="str">
        <f>IF(記録!X28="","",記録!X28)</f>
        <v>〇</v>
      </c>
      <c r="J8" s="31" t="str">
        <f>IF(記録!Y28="","",記録!Y28)</f>
        <v/>
      </c>
    </row>
    <row r="9" spans="2:10" x14ac:dyDescent="0.55000000000000004">
      <c r="B9" s="12" t="s">
        <v>20</v>
      </c>
      <c r="C9" s="32">
        <f>IF(記録!B11="","",記録!B11)</f>
        <v>3</v>
      </c>
      <c r="D9" s="32">
        <f>IF(記録!C11="","",記録!C11)</f>
        <v>1</v>
      </c>
      <c r="E9" s="32">
        <f>IF(記録!D11="","",記録!D11)</f>
        <v>2</v>
      </c>
      <c r="F9" s="33">
        <f>IF(記録!E11="","",記録!E11)</f>
        <v>2</v>
      </c>
      <c r="G9" s="34">
        <f>IF(記録!V29="","",記録!V29)</f>
        <v>2</v>
      </c>
      <c r="H9" s="32">
        <f>IF(記録!W29="","",記録!W29)</f>
        <v>3</v>
      </c>
      <c r="I9" s="32">
        <f>IF(記録!X29="","",記録!X29)</f>
        <v>2</v>
      </c>
      <c r="J9" s="35">
        <f>IF(記録!Y29="","",記録!Y29)</f>
        <v>3</v>
      </c>
    </row>
    <row r="10" spans="2:10" ht="51" customHeight="1" x14ac:dyDescent="0.55000000000000004">
      <c r="B10" s="17" t="s">
        <v>22</v>
      </c>
      <c r="C10" s="18" t="str">
        <f>IF(記録!B12="","",記録!B12)</f>
        <v>〇</v>
      </c>
      <c r="D10" s="18" t="str">
        <f>IF(記録!C12="","",記録!C12)</f>
        <v/>
      </c>
      <c r="E10" s="18" t="str">
        <f>IF(記録!D12="","",記録!D12)</f>
        <v/>
      </c>
      <c r="F10" s="19" t="str">
        <f>IF(記録!E12="","",記録!E12)</f>
        <v>〇</v>
      </c>
      <c r="G10" s="20" t="str">
        <f>IF(記録!V30="","",記録!V30)</f>
        <v/>
      </c>
      <c r="H10" s="18" t="str">
        <f>IF(記録!W30="","",記録!W30)</f>
        <v>〇</v>
      </c>
      <c r="I10" s="18" t="str">
        <f>IF(記録!X30="","",記録!X30)</f>
        <v>〇</v>
      </c>
      <c r="J10" s="21" t="str">
        <f>IF(記録!Y30="","",記録!Y30)</f>
        <v>〇</v>
      </c>
    </row>
    <row r="11" spans="2:10" ht="51" customHeight="1" x14ac:dyDescent="0.55000000000000004">
      <c r="B11" s="22" t="s">
        <v>23</v>
      </c>
      <c r="C11" s="23" t="str">
        <f>IF(記録!B13="","",記録!B13)</f>
        <v>〇</v>
      </c>
      <c r="D11" s="23" t="str">
        <f>IF(記録!C13="","",記録!C13)</f>
        <v/>
      </c>
      <c r="E11" s="23" t="str">
        <f>IF(記録!D13="","",記録!D13)</f>
        <v>〇</v>
      </c>
      <c r="F11" s="24" t="str">
        <f>IF(記録!E13="","",記録!E13)</f>
        <v/>
      </c>
      <c r="G11" s="25" t="str">
        <f>IF(記録!V31="","",記録!V31)</f>
        <v>〇</v>
      </c>
      <c r="H11" s="23" t="str">
        <f>IF(記録!W31="","",記録!W31)</f>
        <v>〇</v>
      </c>
      <c r="I11" s="23" t="str">
        <f>IF(記録!X31="","",記録!X31)</f>
        <v/>
      </c>
      <c r="J11" s="26" t="str">
        <f>IF(記録!Y31="","",記録!Y31)</f>
        <v>〇</v>
      </c>
    </row>
    <row r="12" spans="2:10" ht="51" customHeight="1" x14ac:dyDescent="0.55000000000000004">
      <c r="B12" s="22" t="s">
        <v>25</v>
      </c>
      <c r="C12" s="23" t="str">
        <f>IF(記録!B14="","",記録!B14)</f>
        <v>〇</v>
      </c>
      <c r="D12" s="23" t="str">
        <f>IF(記録!C14="","",記録!C14)</f>
        <v>〇</v>
      </c>
      <c r="E12" s="23" t="str">
        <f>IF(記録!D14="","",記録!D14)</f>
        <v/>
      </c>
      <c r="F12" s="24" t="str">
        <f>IF(記録!E14="","",記録!E14)</f>
        <v/>
      </c>
      <c r="G12" s="25" t="str">
        <f>IF(記録!V32="","",記録!V32)</f>
        <v>〇</v>
      </c>
      <c r="H12" s="23" t="str">
        <f>IF(記録!W32="","",記録!W32)</f>
        <v/>
      </c>
      <c r="I12" s="23" t="str">
        <f>IF(記録!X32="","",記録!X32)</f>
        <v>〇</v>
      </c>
      <c r="J12" s="26" t="str">
        <f>IF(記録!Y32="","",記録!Y32)</f>
        <v/>
      </c>
    </row>
    <row r="13" spans="2:10" ht="51" customHeight="1" thickBot="1" x14ac:dyDescent="0.6">
      <c r="B13" s="27" t="s">
        <v>27</v>
      </c>
      <c r="C13" s="28" t="str">
        <f>IF(記録!B15="","",記録!B15)</f>
        <v/>
      </c>
      <c r="D13" s="28" t="str">
        <f>IF(記録!C15="","",記録!C15)</f>
        <v/>
      </c>
      <c r="E13" s="28" t="str">
        <f>IF(記録!D15="","",記録!D15)</f>
        <v>〇</v>
      </c>
      <c r="F13" s="29" t="str">
        <f>IF(記録!E15="","",記録!E15)</f>
        <v>〇</v>
      </c>
      <c r="G13" s="30" t="str">
        <f>IF(記録!V33="","",記録!V33)</f>
        <v/>
      </c>
      <c r="H13" s="28" t="str">
        <f>IF(記録!W33="","",記録!W33)</f>
        <v>〇</v>
      </c>
      <c r="I13" s="28" t="str">
        <f>IF(記録!X33="","",記録!X33)</f>
        <v/>
      </c>
      <c r="J13" s="31" t="str">
        <f>IF(記録!Y33="","",記録!Y33)</f>
        <v>〇</v>
      </c>
    </row>
    <row r="14" spans="2:10" x14ac:dyDescent="0.55000000000000004">
      <c r="B14" s="12" t="s">
        <v>18</v>
      </c>
      <c r="C14" s="32">
        <f>IF(記録!B16="","",記録!B16)</f>
        <v>24</v>
      </c>
      <c r="D14" s="32">
        <f>IF(記録!C16="","",記録!C16)</f>
        <v>23</v>
      </c>
      <c r="E14" s="32">
        <f>IF(記録!D16="","",記録!D16)</f>
        <v>22</v>
      </c>
      <c r="F14" s="33">
        <f>IF(記録!E16="","",記録!E16)</f>
        <v>21</v>
      </c>
      <c r="G14" s="34">
        <f>IF(記録!V34="","",記録!V34)</f>
        <v>28</v>
      </c>
      <c r="H14" s="32">
        <f>IF(記録!W34="","",記録!W34)</f>
        <v>27</v>
      </c>
      <c r="I14" s="32">
        <f>IF(記録!X34="","",記録!X34)</f>
        <v>26</v>
      </c>
      <c r="J14" s="35">
        <f>IF(記録!Y34="","",記録!Y34)</f>
        <v>25</v>
      </c>
    </row>
    <row r="15" spans="2:10" x14ac:dyDescent="0.55000000000000004">
      <c r="B15" s="12" t="s">
        <v>35</v>
      </c>
      <c r="C15" s="36" t="str">
        <f>IF(記録!B17="","",記録!B17)</f>
        <v>女</v>
      </c>
      <c r="D15" s="36" t="str">
        <f>IF(記録!C17="","",記録!C17)</f>
        <v>女</v>
      </c>
      <c r="E15" s="36" t="str">
        <f>IF(記録!D17="","",記録!D17)</f>
        <v>女</v>
      </c>
      <c r="F15" s="37" t="str">
        <f>IF(記録!E17="","",記録!E17)</f>
        <v>女</v>
      </c>
      <c r="G15" s="38" t="str">
        <f>IF(記録!V35="","",記録!V35)</f>
        <v>男</v>
      </c>
      <c r="H15" s="36" t="str">
        <f>IF(記録!W35="","",記録!W35)</f>
        <v>男</v>
      </c>
      <c r="I15" s="36" t="str">
        <f>IF(記録!X35="","",記録!X35)</f>
        <v>男</v>
      </c>
      <c r="J15" s="39" t="str">
        <f>IF(記録!Y35="","",記録!Y35)</f>
        <v>男</v>
      </c>
    </row>
    <row r="16" spans="2:10" ht="245" customHeight="1" thickBot="1" x14ac:dyDescent="0.6">
      <c r="B16" s="3" t="s">
        <v>58</v>
      </c>
      <c r="C16" s="4" t="str">
        <f>IF(記録!B18="","",記録!B18)</f>
        <v>谷口 洋子</v>
      </c>
      <c r="D16" s="4" t="str">
        <f>IF(記録!C18="","",記録!C18)</f>
        <v>入江 美讃</v>
      </c>
      <c r="E16" s="4" t="str">
        <f>IF(記録!D18="","",記録!D18)</f>
        <v>越後 奈緒美</v>
      </c>
      <c r="F16" s="5" t="str">
        <f>IF(記録!E18="","",記録!E18)</f>
        <v>後藤 徳子</v>
      </c>
      <c r="G16" s="6" t="str">
        <f>IF(記録!V36="","",記録!V36)</f>
        <v>松永 安太郎</v>
      </c>
      <c r="H16" s="4" t="str">
        <f>IF(記録!W36="","",記録!W36)</f>
        <v>芝田 典久</v>
      </c>
      <c r="I16" s="4" t="str">
        <f>IF(記録!X36="","",記録!X36)</f>
        <v>山本 三郎</v>
      </c>
      <c r="J16" s="7" t="str">
        <f>IF(記録!Y36="","",記録!Y36)</f>
        <v>葛西 裕文</v>
      </c>
    </row>
  </sheetData>
  <mergeCells count="4">
    <mergeCell ref="G1:J1"/>
    <mergeCell ref="G2:J2"/>
    <mergeCell ref="C1:F1"/>
    <mergeCell ref="C2:F2"/>
  </mergeCells>
  <phoneticPr fontId="1"/>
  <pageMargins left="0.23622047244094491" right="0.23622047244094491" top="1.0533333333333332" bottom="0.74803149606299213" header="0.31496062992125984" footer="0.31496062992125984"/>
  <pageSetup paperSize="9" scale="75" orientation="portrait" r:id="rId1"/>
  <headerFooter>
    <oddHeader>&amp;C&amp;"メイリオ,ボールド"&amp;28 2021 東尾張エリア弓道大会　チーム記録</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FA303-E5C1-4214-A10C-FFE17F693704}">
  <sheetPr>
    <pageSetUpPr fitToPage="1"/>
  </sheetPr>
  <dimension ref="B1:J16"/>
  <sheetViews>
    <sheetView view="pageLayout" zoomScaleNormal="100" workbookViewId="0"/>
  </sheetViews>
  <sheetFormatPr defaultColWidth="3.58203125" defaultRowHeight="38" x14ac:dyDescent="0.55000000000000004"/>
  <cols>
    <col min="1" max="1" width="3.58203125" style="1"/>
    <col min="2" max="2" width="23.58203125" style="1" customWidth="1"/>
    <col min="3" max="10" width="10.9140625" style="1" customWidth="1"/>
    <col min="11" max="11" width="3.9140625" style="1" bestFit="1" customWidth="1"/>
    <col min="12" max="16384" width="3.58203125" style="1"/>
  </cols>
  <sheetData>
    <row r="1" spans="2:10" x14ac:dyDescent="0.55000000000000004">
      <c r="B1" s="11" t="s">
        <v>2</v>
      </c>
      <c r="C1" s="207" t="str">
        <f>IF(記録!R20="","",記録!R20)</f>
        <v>長久手B</v>
      </c>
      <c r="D1" s="205"/>
      <c r="E1" s="205"/>
      <c r="F1" s="205"/>
      <c r="G1" s="204" t="str">
        <f>IF(記録!N20="","",記録!N20)</f>
        <v>尾張旭A</v>
      </c>
      <c r="H1" s="205"/>
      <c r="I1" s="205"/>
      <c r="J1" s="206"/>
    </row>
    <row r="2" spans="2:10" x14ac:dyDescent="0.55000000000000004">
      <c r="B2" s="66" t="s">
        <v>3</v>
      </c>
      <c r="C2" s="211">
        <f>IF(記録!R21="","",記録!R21)</f>
        <v>16</v>
      </c>
      <c r="D2" s="209"/>
      <c r="E2" s="209"/>
      <c r="F2" s="209"/>
      <c r="G2" s="208">
        <f>IF(記録!N21="","",記録!N21)</f>
        <v>17</v>
      </c>
      <c r="H2" s="209"/>
      <c r="I2" s="209"/>
      <c r="J2" s="210"/>
    </row>
    <row r="3" spans="2:10" ht="38.5" thickBot="1" x14ac:dyDescent="0.6">
      <c r="B3" s="64" t="s">
        <v>4</v>
      </c>
      <c r="C3" s="67">
        <f>IF(記録!R23="","",記録!R23)</f>
        <v>7</v>
      </c>
      <c r="D3" s="67">
        <f>IF(記録!S23="","",記録!S23)</f>
        <v>2</v>
      </c>
      <c r="E3" s="67">
        <f>IF(記録!T23="","",記録!T23)</f>
        <v>4</v>
      </c>
      <c r="F3" s="68">
        <f>IF(記録!U23="","",記録!U23)</f>
        <v>3</v>
      </c>
      <c r="G3" s="69">
        <f>IF(記録!N23="","",記録!N23)</f>
        <v>4</v>
      </c>
      <c r="H3" s="67">
        <f>IF(記録!O23="","",記録!O23)</f>
        <v>4</v>
      </c>
      <c r="I3" s="67">
        <f>IF(記録!P23="","",記録!P23)</f>
        <v>4</v>
      </c>
      <c r="J3" s="70">
        <f>IF(記録!Q23="","",記録!Q23)</f>
        <v>5</v>
      </c>
    </row>
    <row r="4" spans="2:10" ht="38.5" thickTop="1" x14ac:dyDescent="0.55000000000000004">
      <c r="B4" s="12" t="s">
        <v>19</v>
      </c>
      <c r="C4" s="13">
        <f>IF(記録!R24="","",記録!R24)</f>
        <v>4</v>
      </c>
      <c r="D4" s="13">
        <f>IF(記録!S24="","",記録!S24)</f>
        <v>1</v>
      </c>
      <c r="E4" s="13">
        <f>IF(記録!T24="","",記録!T24)</f>
        <v>2</v>
      </c>
      <c r="F4" s="14">
        <f>IF(記録!U24="","",記録!U24)</f>
        <v>1</v>
      </c>
      <c r="G4" s="15">
        <f>IF(記録!N24="","",記録!N24)</f>
        <v>2</v>
      </c>
      <c r="H4" s="13">
        <f>IF(記録!O24="","",記録!O24)</f>
        <v>2</v>
      </c>
      <c r="I4" s="13">
        <f>IF(記録!P24="","",記録!P24)</f>
        <v>2</v>
      </c>
      <c r="J4" s="16">
        <f>IF(記録!Q24="","",記録!Q24)</f>
        <v>2</v>
      </c>
    </row>
    <row r="5" spans="2:10" ht="51" customHeight="1" x14ac:dyDescent="0.55000000000000004">
      <c r="B5" s="17" t="s">
        <v>22</v>
      </c>
      <c r="C5" s="18" t="str">
        <f>IF(記録!R25="","",記録!R25)</f>
        <v>〇</v>
      </c>
      <c r="D5" s="18" t="str">
        <f>IF(記録!S25="","",記録!S25)</f>
        <v/>
      </c>
      <c r="E5" s="18" t="str">
        <f>IF(記録!T25="","",記録!T25)</f>
        <v>〇</v>
      </c>
      <c r="F5" s="19" t="str">
        <f>IF(記録!U25="","",記録!U25)</f>
        <v/>
      </c>
      <c r="G5" s="20" t="str">
        <f>IF(記録!N25="","",記録!N25)</f>
        <v>〇</v>
      </c>
      <c r="H5" s="18" t="str">
        <f>IF(記録!O25="","",記録!O25)</f>
        <v/>
      </c>
      <c r="I5" s="18" t="str">
        <f>IF(記録!P25="","",記録!P25)</f>
        <v/>
      </c>
      <c r="J5" s="21" t="str">
        <f>IF(記録!Q25="","",記録!Q25)</f>
        <v>〇</v>
      </c>
    </row>
    <row r="6" spans="2:10" ht="51" customHeight="1" x14ac:dyDescent="0.55000000000000004">
      <c r="B6" s="22" t="s">
        <v>23</v>
      </c>
      <c r="C6" s="23" t="str">
        <f>IF(記録!R26="","",記録!R26)</f>
        <v>〇</v>
      </c>
      <c r="D6" s="23" t="str">
        <f>IF(記録!S26="","",記録!S26)</f>
        <v/>
      </c>
      <c r="E6" s="23" t="str">
        <f>IF(記録!T26="","",記録!T26)</f>
        <v/>
      </c>
      <c r="F6" s="24" t="str">
        <f>IF(記録!U26="","",記録!U26)</f>
        <v>〇</v>
      </c>
      <c r="G6" s="25" t="str">
        <f>IF(記録!N26="","",記録!N26)</f>
        <v/>
      </c>
      <c r="H6" s="23" t="str">
        <f>IF(記録!O26="","",記録!O26)</f>
        <v>〇</v>
      </c>
      <c r="I6" s="23" t="str">
        <f>IF(記録!P26="","",記録!P26)</f>
        <v>〇</v>
      </c>
      <c r="J6" s="26" t="str">
        <f>IF(記録!Q26="","",記録!Q26)</f>
        <v/>
      </c>
    </row>
    <row r="7" spans="2:10" ht="51" customHeight="1" x14ac:dyDescent="0.55000000000000004">
      <c r="B7" s="22" t="s">
        <v>25</v>
      </c>
      <c r="C7" s="23" t="str">
        <f>IF(記録!R27="","",記録!R27)</f>
        <v>〇</v>
      </c>
      <c r="D7" s="23" t="str">
        <f>IF(記録!S27="","",記録!S27)</f>
        <v/>
      </c>
      <c r="E7" s="23" t="str">
        <f>IF(記録!T27="","",記録!T27)</f>
        <v>〇</v>
      </c>
      <c r="F7" s="24" t="str">
        <f>IF(記録!U27="","",記録!U27)</f>
        <v/>
      </c>
      <c r="G7" s="25" t="str">
        <f>IF(記録!N27="","",記録!N27)</f>
        <v>〇</v>
      </c>
      <c r="H7" s="23" t="str">
        <f>IF(記録!O27="","",記録!O27)</f>
        <v>〇</v>
      </c>
      <c r="I7" s="23" t="str">
        <f>IF(記録!P27="","",記録!P27)</f>
        <v/>
      </c>
      <c r="J7" s="26" t="str">
        <f>IF(記録!Q27="","",記録!Q27)</f>
        <v/>
      </c>
    </row>
    <row r="8" spans="2:10" ht="51" customHeight="1" thickBot="1" x14ac:dyDescent="0.6">
      <c r="B8" s="27" t="s">
        <v>27</v>
      </c>
      <c r="C8" s="28" t="str">
        <f>IF(記録!R28="","",記録!R28)</f>
        <v>〇</v>
      </c>
      <c r="D8" s="28" t="str">
        <f>IF(記録!S28="","",記録!S28)</f>
        <v>〇</v>
      </c>
      <c r="E8" s="28" t="str">
        <f>IF(記録!T28="","",記録!T28)</f>
        <v/>
      </c>
      <c r="F8" s="29" t="str">
        <f>IF(記録!U28="","",記録!U28)</f>
        <v/>
      </c>
      <c r="G8" s="30" t="str">
        <f>IF(記録!N28="","",記録!N28)</f>
        <v/>
      </c>
      <c r="H8" s="28" t="str">
        <f>IF(記録!O28="","",記録!O28)</f>
        <v/>
      </c>
      <c r="I8" s="28" t="str">
        <f>IF(記録!P28="","",記録!P28)</f>
        <v>〇</v>
      </c>
      <c r="J8" s="31" t="str">
        <f>IF(記録!Q28="","",記録!Q28)</f>
        <v>〇</v>
      </c>
    </row>
    <row r="9" spans="2:10" x14ac:dyDescent="0.55000000000000004">
      <c r="B9" s="12" t="s">
        <v>20</v>
      </c>
      <c r="C9" s="32">
        <f>IF(記録!R29="","",記録!R29)</f>
        <v>3</v>
      </c>
      <c r="D9" s="32">
        <f>IF(記録!S29="","",記録!S29)</f>
        <v>1</v>
      </c>
      <c r="E9" s="32">
        <f>IF(記録!T29="","",記録!T29)</f>
        <v>2</v>
      </c>
      <c r="F9" s="33">
        <f>IF(記録!U29="","",記録!U29)</f>
        <v>2</v>
      </c>
      <c r="G9" s="34">
        <f>IF(記録!N29="","",記録!N29)</f>
        <v>2</v>
      </c>
      <c r="H9" s="32">
        <f>IF(記録!O29="","",記録!O29)</f>
        <v>2</v>
      </c>
      <c r="I9" s="32">
        <f>IF(記録!P29="","",記録!P29)</f>
        <v>2</v>
      </c>
      <c r="J9" s="35">
        <f>IF(記録!Q29="","",記録!Q29)</f>
        <v>3</v>
      </c>
    </row>
    <row r="10" spans="2:10" ht="51" customHeight="1" x14ac:dyDescent="0.55000000000000004">
      <c r="B10" s="17" t="s">
        <v>22</v>
      </c>
      <c r="C10" s="18" t="str">
        <f>IF(記録!R30="","",記録!R30)</f>
        <v>〇</v>
      </c>
      <c r="D10" s="18" t="str">
        <f>IF(記録!S30="","",記録!S30)</f>
        <v/>
      </c>
      <c r="E10" s="18" t="str">
        <f>IF(記録!T30="","",記録!T30)</f>
        <v>〇</v>
      </c>
      <c r="F10" s="19" t="str">
        <f>IF(記録!U30="","",記録!U30)</f>
        <v>〇</v>
      </c>
      <c r="G10" s="20" t="str">
        <f>IF(記録!N30="","",記録!N30)</f>
        <v/>
      </c>
      <c r="H10" s="18" t="str">
        <f>IF(記録!O30="","",記録!O30)</f>
        <v>〇</v>
      </c>
      <c r="I10" s="18" t="str">
        <f>IF(記録!P30="","",記録!P30)</f>
        <v/>
      </c>
      <c r="J10" s="21" t="str">
        <f>IF(記録!Q30="","",記録!Q30)</f>
        <v>〇</v>
      </c>
    </row>
    <row r="11" spans="2:10" ht="51" customHeight="1" x14ac:dyDescent="0.55000000000000004">
      <c r="B11" s="22" t="s">
        <v>23</v>
      </c>
      <c r="C11" s="23" t="str">
        <f>IF(記録!R31="","",記録!R31)</f>
        <v>〇</v>
      </c>
      <c r="D11" s="23" t="str">
        <f>IF(記録!S31="","",記録!S31)</f>
        <v>〇</v>
      </c>
      <c r="E11" s="23" t="str">
        <f>IF(記録!T31="","",記録!T31)</f>
        <v/>
      </c>
      <c r="F11" s="24" t="str">
        <f>IF(記録!U31="","",記録!U31)</f>
        <v/>
      </c>
      <c r="G11" s="25" t="str">
        <f>IF(記録!N31="","",記録!N31)</f>
        <v>〇</v>
      </c>
      <c r="H11" s="23" t="str">
        <f>IF(記録!O31="","",記録!O31)</f>
        <v/>
      </c>
      <c r="I11" s="23" t="str">
        <f>IF(記録!P31="","",記録!P31)</f>
        <v>〇</v>
      </c>
      <c r="J11" s="26" t="str">
        <f>IF(記録!Q31="","",記録!Q31)</f>
        <v>〇</v>
      </c>
    </row>
    <row r="12" spans="2:10" ht="51" customHeight="1" x14ac:dyDescent="0.55000000000000004">
      <c r="B12" s="22" t="s">
        <v>25</v>
      </c>
      <c r="C12" s="23" t="str">
        <f>IF(記録!R32="","",記録!R32)</f>
        <v>〇</v>
      </c>
      <c r="D12" s="23" t="str">
        <f>IF(記録!S32="","",記録!S32)</f>
        <v/>
      </c>
      <c r="E12" s="23" t="str">
        <f>IF(記録!T32="","",記録!T32)</f>
        <v/>
      </c>
      <c r="F12" s="24" t="str">
        <f>IF(記録!U32="","",記録!U32)</f>
        <v>〇</v>
      </c>
      <c r="G12" s="25" t="str">
        <f>IF(記録!N32="","",記録!N32)</f>
        <v>〇</v>
      </c>
      <c r="H12" s="23" t="str">
        <f>IF(記録!O32="","",記録!O32)</f>
        <v/>
      </c>
      <c r="I12" s="23" t="str">
        <f>IF(記録!P32="","",記録!P32)</f>
        <v>〇</v>
      </c>
      <c r="J12" s="26" t="str">
        <f>IF(記録!Q32="","",記録!Q32)</f>
        <v>〇</v>
      </c>
    </row>
    <row r="13" spans="2:10" ht="51" customHeight="1" thickBot="1" x14ac:dyDescent="0.6">
      <c r="B13" s="27" t="s">
        <v>27</v>
      </c>
      <c r="C13" s="28" t="str">
        <f>IF(記録!R33="","",記録!R33)</f>
        <v/>
      </c>
      <c r="D13" s="28" t="str">
        <f>IF(記録!S33="","",記録!S33)</f>
        <v/>
      </c>
      <c r="E13" s="28" t="str">
        <f>IF(記録!T33="","",記録!T33)</f>
        <v>〇</v>
      </c>
      <c r="F13" s="29" t="str">
        <f>IF(記録!U33="","",記録!U33)</f>
        <v/>
      </c>
      <c r="G13" s="30" t="str">
        <f>IF(記録!N33="","",記録!N33)</f>
        <v/>
      </c>
      <c r="H13" s="28" t="str">
        <f>IF(記録!O33="","",記録!O33)</f>
        <v>〇</v>
      </c>
      <c r="I13" s="28" t="str">
        <f>IF(記録!P33="","",記録!P33)</f>
        <v/>
      </c>
      <c r="J13" s="31" t="str">
        <f>IF(記録!Q33="","",記録!Q33)</f>
        <v/>
      </c>
    </row>
    <row r="14" spans="2:10" x14ac:dyDescent="0.55000000000000004">
      <c r="B14" s="12" t="s">
        <v>18</v>
      </c>
      <c r="C14" s="32">
        <f>IF(記録!R34="","",記録!R34)</f>
        <v>32</v>
      </c>
      <c r="D14" s="32">
        <f>IF(記録!S34="","",記録!S34)</f>
        <v>31</v>
      </c>
      <c r="E14" s="32">
        <f>IF(記録!T34="","",記録!T34)</f>
        <v>30</v>
      </c>
      <c r="F14" s="33">
        <f>IF(記録!U34="","",記録!U34)</f>
        <v>29</v>
      </c>
      <c r="G14" s="34">
        <f>IF(記録!N34="","",記録!N34)</f>
        <v>36</v>
      </c>
      <c r="H14" s="32">
        <f>IF(記録!O34="","",記録!O34)</f>
        <v>35</v>
      </c>
      <c r="I14" s="32">
        <f>IF(記録!P34="","",記録!P34)</f>
        <v>34</v>
      </c>
      <c r="J14" s="35">
        <f>IF(記録!Q34="","",記録!Q34)</f>
        <v>33</v>
      </c>
    </row>
    <row r="15" spans="2:10" x14ac:dyDescent="0.55000000000000004">
      <c r="B15" s="12" t="s">
        <v>35</v>
      </c>
      <c r="C15" s="36" t="str">
        <f>IF(記録!R35="","",記録!R35)</f>
        <v>女</v>
      </c>
      <c r="D15" s="36" t="str">
        <f>IF(記録!S35="","",記録!S35)</f>
        <v>女</v>
      </c>
      <c r="E15" s="36" t="str">
        <f>IF(記録!T35="","",記録!T35)</f>
        <v>女</v>
      </c>
      <c r="F15" s="37" t="str">
        <f>IF(記録!U35="","",記録!U35)</f>
        <v>女</v>
      </c>
      <c r="G15" s="38" t="str">
        <f>IF(記録!N35="","",記録!N35)</f>
        <v>男</v>
      </c>
      <c r="H15" s="36" t="str">
        <f>IF(記録!O35="","",記録!O35)</f>
        <v>男</v>
      </c>
      <c r="I15" s="36" t="str">
        <f>IF(記録!P35="","",記録!P35)</f>
        <v>男</v>
      </c>
      <c r="J15" s="39" t="str">
        <f>IF(記録!Q35="","",記録!Q35)</f>
        <v>男</v>
      </c>
    </row>
    <row r="16" spans="2:10" ht="245" customHeight="1" thickBot="1" x14ac:dyDescent="0.6">
      <c r="B16" s="3" t="s">
        <v>58</v>
      </c>
      <c r="C16" s="4" t="str">
        <f>IF(記録!R36="","",記録!R36)</f>
        <v>野々垣 奈緒子</v>
      </c>
      <c r="D16" s="4" t="str">
        <f>IF(記録!S36="","",記録!S36)</f>
        <v>水野 三穂</v>
      </c>
      <c r="E16" s="4" t="str">
        <f>IF(記録!T36="","",記録!T36)</f>
        <v>上平 佳織</v>
      </c>
      <c r="F16" s="5" t="str">
        <f>IF(記録!U36="","",記録!U36)</f>
        <v>澤田 圭子</v>
      </c>
      <c r="G16" s="6" t="str">
        <f>IF(記録!N36="","",記録!N36)</f>
        <v>山田 英治</v>
      </c>
      <c r="H16" s="4" t="str">
        <f>IF(記録!O36="","",記録!O36)</f>
        <v>大竹 誠</v>
      </c>
      <c r="I16" s="4" t="str">
        <f>IF(記録!P36="","",記録!P36)</f>
        <v>角谷 昌紀</v>
      </c>
      <c r="J16" s="7" t="str">
        <f>IF(記録!Q36="","",記録!Q36)</f>
        <v>西尾 雅司</v>
      </c>
    </row>
  </sheetData>
  <mergeCells count="4">
    <mergeCell ref="G1:J1"/>
    <mergeCell ref="G2:J2"/>
    <mergeCell ref="C1:F1"/>
    <mergeCell ref="C2:F2"/>
  </mergeCells>
  <phoneticPr fontId="1"/>
  <pageMargins left="0.23622047244094491" right="0.23622047244094491" top="1.0533333333333332" bottom="0.74803149606299213" header="0.31496062992125984" footer="0.31496062992125984"/>
  <pageSetup paperSize="9" scale="75" orientation="portrait" r:id="rId1"/>
  <headerFooter>
    <oddHeader>&amp;C&amp;"メイリオ,ボールド"&amp;28 2021 東尾張エリア弓道大会　チーム記録</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90BB-2B2C-4968-B733-53D6FA084CCE}">
  <sheetPr>
    <pageSetUpPr fitToPage="1"/>
  </sheetPr>
  <dimension ref="B1:J16"/>
  <sheetViews>
    <sheetView view="pageLayout" zoomScaleNormal="100" workbookViewId="0"/>
  </sheetViews>
  <sheetFormatPr defaultColWidth="3.58203125" defaultRowHeight="38" x14ac:dyDescent="0.55000000000000004"/>
  <cols>
    <col min="1" max="1" width="3.58203125" style="1"/>
    <col min="2" max="2" width="23.58203125" style="1" customWidth="1"/>
    <col min="3" max="10" width="10.9140625" style="1" customWidth="1"/>
    <col min="11" max="11" width="3.58203125" style="1"/>
    <col min="12" max="12" width="3.9140625" style="1" bestFit="1" customWidth="1"/>
    <col min="13" max="14" width="3.58203125" style="1"/>
    <col min="15" max="15" width="3.9140625" style="1" bestFit="1" customWidth="1"/>
    <col min="16" max="16384" width="3.58203125" style="1"/>
  </cols>
  <sheetData>
    <row r="1" spans="2:10" x14ac:dyDescent="0.55000000000000004">
      <c r="B1" s="11" t="s">
        <v>2</v>
      </c>
      <c r="C1" s="207" t="str">
        <f>IF(記録!V2="","",記録!V2)</f>
        <v>春日井A</v>
      </c>
      <c r="D1" s="205"/>
      <c r="E1" s="205"/>
      <c r="F1" s="205"/>
      <c r="G1" s="204" t="str">
        <f>IF(記録!R2="","",記録!R2)</f>
        <v>春日井B</v>
      </c>
      <c r="H1" s="205"/>
      <c r="I1" s="205"/>
      <c r="J1" s="206"/>
    </row>
    <row r="2" spans="2:10" x14ac:dyDescent="0.55000000000000004">
      <c r="B2" s="66" t="s">
        <v>3</v>
      </c>
      <c r="C2" s="211">
        <f>IF(記録!V3="","",記録!V3)</f>
        <v>21</v>
      </c>
      <c r="D2" s="209"/>
      <c r="E2" s="209"/>
      <c r="F2" s="209"/>
      <c r="G2" s="208">
        <f>IF(記録!R3="","",記録!R3)</f>
        <v>15</v>
      </c>
      <c r="H2" s="209"/>
      <c r="I2" s="209"/>
      <c r="J2" s="210"/>
    </row>
    <row r="3" spans="2:10" ht="38.5" thickBot="1" x14ac:dyDescent="0.6">
      <c r="B3" s="64" t="s">
        <v>4</v>
      </c>
      <c r="C3" s="67">
        <f>IF(記録!V5="","",記録!V5)</f>
        <v>7</v>
      </c>
      <c r="D3" s="75">
        <f>IF(記録!W5="","",記録!W5)</f>
        <v>3</v>
      </c>
      <c r="E3" s="75">
        <f>IF(記録!X5="","",記録!X5)</f>
        <v>6</v>
      </c>
      <c r="F3" s="76">
        <f>IF(記録!Y5="","",記録!Y5)</f>
        <v>5</v>
      </c>
      <c r="G3" s="69">
        <f>IF(記録!R5="","",記録!R5)</f>
        <v>4</v>
      </c>
      <c r="H3" s="75">
        <f>IF(記録!S5="","",記録!S5)</f>
        <v>5</v>
      </c>
      <c r="I3" s="75">
        <f>IF(記録!T5="","",記録!T5)</f>
        <v>2</v>
      </c>
      <c r="J3" s="77">
        <f>IF(記録!U5="","",記録!U5)</f>
        <v>4</v>
      </c>
    </row>
    <row r="4" spans="2:10" ht="38.5" thickTop="1" x14ac:dyDescent="0.55000000000000004">
      <c r="B4" s="12" t="s">
        <v>19</v>
      </c>
      <c r="C4" s="13">
        <f>IF(記録!V6="","",記録!V6)</f>
        <v>4</v>
      </c>
      <c r="D4" s="45">
        <f>IF(記録!W6="","",記録!W6)</f>
        <v>1</v>
      </c>
      <c r="E4" s="45">
        <f>IF(記録!X6="","",記録!X6)</f>
        <v>3</v>
      </c>
      <c r="F4" s="46">
        <f>IF(記録!Y6="","",記録!Y6)</f>
        <v>3</v>
      </c>
      <c r="G4" s="15">
        <f>IF(記録!R6="","",記録!R6)</f>
        <v>2</v>
      </c>
      <c r="H4" s="45">
        <f>IF(記録!S6="","",記録!S6)</f>
        <v>3</v>
      </c>
      <c r="I4" s="45">
        <f>IF(記録!T6="","",記録!T6)</f>
        <v>1</v>
      </c>
      <c r="J4" s="47">
        <f>IF(記録!U6="","",記録!U6)</f>
        <v>2</v>
      </c>
    </row>
    <row r="5" spans="2:10" ht="51" customHeight="1" x14ac:dyDescent="0.55000000000000004">
      <c r="B5" s="17" t="s">
        <v>22</v>
      </c>
      <c r="C5" s="18" t="str">
        <f>IF(記録!V7="","",記録!V7)</f>
        <v>〇</v>
      </c>
      <c r="D5" s="48" t="str">
        <f>IF(記録!W7="","",記録!W7)</f>
        <v/>
      </c>
      <c r="E5" s="48" t="str">
        <f>IF(記録!X7="","",記録!X7)</f>
        <v>〇</v>
      </c>
      <c r="F5" s="49" t="str">
        <f>IF(記録!Y7="","",記録!Y7)</f>
        <v>〇</v>
      </c>
      <c r="G5" s="20" t="str">
        <f>IF(記録!R7="","",記録!R7)</f>
        <v>〇</v>
      </c>
      <c r="H5" s="48" t="str">
        <f>IF(記録!S7="","",記録!S7)</f>
        <v>〇</v>
      </c>
      <c r="I5" s="48" t="str">
        <f>IF(記録!T7="","",記録!T7)</f>
        <v/>
      </c>
      <c r="J5" s="50" t="str">
        <f>IF(記録!U7="","",記録!U7)</f>
        <v/>
      </c>
    </row>
    <row r="6" spans="2:10" ht="51" customHeight="1" x14ac:dyDescent="0.55000000000000004">
      <c r="B6" s="22" t="s">
        <v>23</v>
      </c>
      <c r="C6" s="23" t="str">
        <f>IF(記録!V8="","",記録!V8)</f>
        <v>〇</v>
      </c>
      <c r="D6" s="51" t="str">
        <f>IF(記録!W8="","",記録!W8)</f>
        <v>〇</v>
      </c>
      <c r="E6" s="51" t="str">
        <f>IF(記録!X8="","",記録!X8)</f>
        <v>〇</v>
      </c>
      <c r="F6" s="52" t="str">
        <f>IF(記録!Y8="","",記録!Y8)</f>
        <v>〇</v>
      </c>
      <c r="G6" s="25" t="str">
        <f>IF(記録!R8="","",記録!R8)</f>
        <v>〇</v>
      </c>
      <c r="H6" s="51" t="str">
        <f>IF(記録!S8="","",記録!S8)</f>
        <v>〇</v>
      </c>
      <c r="I6" s="51" t="str">
        <f>IF(記録!T8="","",記録!T8)</f>
        <v/>
      </c>
      <c r="J6" s="53" t="str">
        <f>IF(記録!U8="","",記録!U8)</f>
        <v>〇</v>
      </c>
    </row>
    <row r="7" spans="2:10" ht="51" customHeight="1" x14ac:dyDescent="0.55000000000000004">
      <c r="B7" s="22" t="s">
        <v>25</v>
      </c>
      <c r="C7" s="23" t="str">
        <f>IF(記録!V9="","",記録!V9)</f>
        <v>〇</v>
      </c>
      <c r="D7" s="51" t="str">
        <f>IF(記録!W9="","",記録!W9)</f>
        <v/>
      </c>
      <c r="E7" s="51" t="str">
        <f>IF(記録!X9="","",記録!X9)</f>
        <v>〇</v>
      </c>
      <c r="F7" s="52" t="str">
        <f>IF(記録!Y9="","",記録!Y9)</f>
        <v>×</v>
      </c>
      <c r="G7" s="25" t="str">
        <f>IF(記録!R9="","",記録!R9)</f>
        <v/>
      </c>
      <c r="H7" s="51" t="str">
        <f>IF(記録!S9="","",記録!S9)</f>
        <v>〇</v>
      </c>
      <c r="I7" s="51" t="str">
        <f>IF(記録!T9="","",記録!T9)</f>
        <v>〇</v>
      </c>
      <c r="J7" s="53" t="str">
        <f>IF(記録!U9="","",記録!U9)</f>
        <v>〇</v>
      </c>
    </row>
    <row r="8" spans="2:10" ht="51" customHeight="1" thickBot="1" x14ac:dyDescent="0.6">
      <c r="B8" s="27" t="s">
        <v>27</v>
      </c>
      <c r="C8" s="28" t="str">
        <f>IF(記録!V10="","",記録!V10)</f>
        <v>〇</v>
      </c>
      <c r="D8" s="54" t="str">
        <f>IF(記録!W10="","",記録!W10)</f>
        <v/>
      </c>
      <c r="E8" s="54" t="str">
        <f>IF(記録!X10="","",記録!X10)</f>
        <v/>
      </c>
      <c r="F8" s="55" t="str">
        <f>IF(記録!Y10="","",記録!Y10)</f>
        <v>〇</v>
      </c>
      <c r="G8" s="30" t="str">
        <f>IF(記録!R10="","",記録!R10)</f>
        <v/>
      </c>
      <c r="H8" s="54" t="str">
        <f>IF(記録!S10="","",記録!S10)</f>
        <v/>
      </c>
      <c r="I8" s="54" t="str">
        <f>IF(記録!T10="","",記録!T10)</f>
        <v/>
      </c>
      <c r="J8" s="56" t="str">
        <f>IF(記録!U10="","",記録!U10)</f>
        <v/>
      </c>
    </row>
    <row r="9" spans="2:10" x14ac:dyDescent="0.55000000000000004">
      <c r="B9" s="12" t="s">
        <v>20</v>
      </c>
      <c r="C9" s="32">
        <f>IF(記録!V11="","",記録!V11)</f>
        <v>3</v>
      </c>
      <c r="D9" s="57">
        <f>IF(記録!W11="","",記録!W11)</f>
        <v>2</v>
      </c>
      <c r="E9" s="57">
        <f>IF(記録!X11="","",記録!X11)</f>
        <v>3</v>
      </c>
      <c r="F9" s="58">
        <f>IF(記録!Y11="","",記録!Y11)</f>
        <v>2</v>
      </c>
      <c r="G9" s="34">
        <f>IF(記録!R11="","",記録!R11)</f>
        <v>2</v>
      </c>
      <c r="H9" s="57">
        <f>IF(記録!S11="","",記録!S11)</f>
        <v>2</v>
      </c>
      <c r="I9" s="57">
        <f>IF(記録!T11="","",記録!T11)</f>
        <v>1</v>
      </c>
      <c r="J9" s="59">
        <f>IF(記録!U11="","",記録!U11)</f>
        <v>2</v>
      </c>
    </row>
    <row r="10" spans="2:10" ht="51" customHeight="1" x14ac:dyDescent="0.55000000000000004">
      <c r="B10" s="17" t="s">
        <v>22</v>
      </c>
      <c r="C10" s="18" t="str">
        <f>IF(記録!V12="","",記録!V12)</f>
        <v/>
      </c>
      <c r="D10" s="48" t="str">
        <f>IF(記録!W12="","",記録!W12)</f>
        <v>〇</v>
      </c>
      <c r="E10" s="48" t="str">
        <f>IF(記録!X12="","",記録!X12)</f>
        <v>〇</v>
      </c>
      <c r="F10" s="49" t="str">
        <f>IF(記録!Y12="","",記録!Y12)</f>
        <v/>
      </c>
      <c r="G10" s="20" t="str">
        <f>IF(記録!R12="","",記録!R12)</f>
        <v/>
      </c>
      <c r="H10" s="48" t="str">
        <f>IF(記録!S12="","",記録!S12)</f>
        <v>〇</v>
      </c>
      <c r="I10" s="48" t="str">
        <f>IF(記録!T12="","",記録!T12)</f>
        <v/>
      </c>
      <c r="J10" s="50" t="str">
        <f>IF(記録!U12="","",記録!U12)</f>
        <v>〇</v>
      </c>
    </row>
    <row r="11" spans="2:10" ht="51" customHeight="1" x14ac:dyDescent="0.55000000000000004">
      <c r="B11" s="22" t="s">
        <v>23</v>
      </c>
      <c r="C11" s="23" t="str">
        <f>IF(記録!V13="","",記録!V13)</f>
        <v>〇</v>
      </c>
      <c r="D11" s="51" t="str">
        <f>IF(記録!W13="","",記録!W13)</f>
        <v/>
      </c>
      <c r="E11" s="51" t="str">
        <f>IF(記録!X13="","",記録!X13)</f>
        <v>〇</v>
      </c>
      <c r="F11" s="52" t="str">
        <f>IF(記録!Y13="","",記録!Y13)</f>
        <v>〇</v>
      </c>
      <c r="G11" s="25" t="str">
        <f>IF(記録!R13="","",記録!R13)</f>
        <v>〇</v>
      </c>
      <c r="H11" s="51" t="str">
        <f>IF(記録!S13="","",記録!S13)</f>
        <v/>
      </c>
      <c r="I11" s="51" t="str">
        <f>IF(記録!T13="","",記録!T13)</f>
        <v>〇</v>
      </c>
      <c r="J11" s="53" t="str">
        <f>IF(記録!U13="","",記録!U13)</f>
        <v/>
      </c>
    </row>
    <row r="12" spans="2:10" ht="51" customHeight="1" x14ac:dyDescent="0.55000000000000004">
      <c r="B12" s="22" t="s">
        <v>25</v>
      </c>
      <c r="C12" s="23" t="str">
        <f>IF(記録!V14="","",記録!V14)</f>
        <v>〇</v>
      </c>
      <c r="D12" s="51" t="str">
        <f>IF(記録!W14="","",記録!W14)</f>
        <v>〇</v>
      </c>
      <c r="E12" s="51" t="str">
        <f>IF(記録!X14="","",記録!X14)</f>
        <v>〇</v>
      </c>
      <c r="F12" s="52" t="str">
        <f>IF(記録!Y14="","",記録!Y14)</f>
        <v>〇</v>
      </c>
      <c r="G12" s="25" t="str">
        <f>IF(記録!R14="","",記録!R14)</f>
        <v/>
      </c>
      <c r="H12" s="51" t="str">
        <f>IF(記録!S14="","",記録!S14)</f>
        <v/>
      </c>
      <c r="I12" s="51" t="str">
        <f>IF(記録!T14="","",記録!T14)</f>
        <v/>
      </c>
      <c r="J12" s="53" t="str">
        <f>IF(記録!U14="","",記録!U14)</f>
        <v>〇</v>
      </c>
    </row>
    <row r="13" spans="2:10" ht="51" customHeight="1" thickBot="1" x14ac:dyDescent="0.6">
      <c r="B13" s="27" t="s">
        <v>27</v>
      </c>
      <c r="C13" s="28" t="str">
        <f>IF(記録!V15="","",記録!V15)</f>
        <v>〇</v>
      </c>
      <c r="D13" s="54" t="str">
        <f>IF(記録!W15="","",記録!W15)</f>
        <v/>
      </c>
      <c r="E13" s="54" t="str">
        <f>IF(記録!X15="","",記録!X15)</f>
        <v/>
      </c>
      <c r="F13" s="55" t="str">
        <f>IF(記録!Y15="","",記録!Y15)</f>
        <v/>
      </c>
      <c r="G13" s="30" t="str">
        <f>IF(記録!R15="","",記録!R15)</f>
        <v>〇</v>
      </c>
      <c r="H13" s="54" t="str">
        <f>IF(記録!S15="","",記録!S15)</f>
        <v>〇</v>
      </c>
      <c r="I13" s="54" t="str">
        <f>IF(記録!T15="","",記録!T15)</f>
        <v/>
      </c>
      <c r="J13" s="56" t="str">
        <f>IF(記録!U15="","",記録!U15)</f>
        <v/>
      </c>
    </row>
    <row r="14" spans="2:10" x14ac:dyDescent="0.55000000000000004">
      <c r="B14" s="12" t="s">
        <v>18</v>
      </c>
      <c r="C14" s="32">
        <f>IF(記録!V16="","",記録!V16)</f>
        <v>4</v>
      </c>
      <c r="D14" s="57">
        <f>IF(記録!W16="","",記録!W16)</f>
        <v>3</v>
      </c>
      <c r="E14" s="57">
        <f>IF(記録!X16="","",記録!X16)</f>
        <v>2</v>
      </c>
      <c r="F14" s="58">
        <f>IF(記録!Y16="","",記録!Y16)</f>
        <v>1</v>
      </c>
      <c r="G14" s="34">
        <f>IF(記録!R16="","",記録!R16)</f>
        <v>8</v>
      </c>
      <c r="H14" s="57">
        <f>IF(記録!S16="","",記録!S16)</f>
        <v>7</v>
      </c>
      <c r="I14" s="57">
        <f>IF(記録!T16="","",記録!T16)</f>
        <v>6</v>
      </c>
      <c r="J14" s="59">
        <f>IF(記録!U16="","",記録!U16)</f>
        <v>5</v>
      </c>
    </row>
    <row r="15" spans="2:10" x14ac:dyDescent="0.55000000000000004">
      <c r="B15" s="12" t="s">
        <v>35</v>
      </c>
      <c r="C15" s="36" t="str">
        <f>IF(記録!V17="","",記録!V17)</f>
        <v>男</v>
      </c>
      <c r="D15" s="60" t="str">
        <f>IF(記録!W17="","",記録!W17)</f>
        <v>男</v>
      </c>
      <c r="E15" s="60" t="str">
        <f>IF(記録!X17="","",記録!X17)</f>
        <v>男</v>
      </c>
      <c r="F15" s="61" t="str">
        <f>IF(記録!Y17="","",記録!Y17)</f>
        <v>男</v>
      </c>
      <c r="G15" s="38" t="str">
        <f>IF(記録!R17="","",記録!R17)</f>
        <v>女</v>
      </c>
      <c r="H15" s="60" t="str">
        <f>IF(記録!S17="","",記録!S17)</f>
        <v>女</v>
      </c>
      <c r="I15" s="60" t="str">
        <f>IF(記録!T17="","",記録!T17)</f>
        <v>女</v>
      </c>
      <c r="J15" s="62" t="str">
        <f>IF(記録!U17="","",記録!U17)</f>
        <v>女</v>
      </c>
    </row>
    <row r="16" spans="2:10" ht="245" customHeight="1" thickBot="1" x14ac:dyDescent="0.6">
      <c r="B16" s="3" t="s">
        <v>58</v>
      </c>
      <c r="C16" s="4" t="str">
        <f>IF(記録!V18="","",記録!V18)</f>
        <v>田井 泰</v>
      </c>
      <c r="D16" s="8" t="str">
        <f>IF(記録!W18="","",記録!W18)</f>
        <v>大嶋 啓嗣</v>
      </c>
      <c r="E16" s="8" t="str">
        <f>IF(記録!X18="","",記録!X18)</f>
        <v>伊藤 恭浩</v>
      </c>
      <c r="F16" s="9" t="str">
        <f>IF(記録!Y18="","",記録!Y18)</f>
        <v>峯 徹</v>
      </c>
      <c r="G16" s="6" t="str">
        <f>IF(記録!R18="","",記録!R18)</f>
        <v>伊藤 洋子</v>
      </c>
      <c r="H16" s="8" t="str">
        <f>IF(記録!S18="","",記録!S18)</f>
        <v>片桐 志保</v>
      </c>
      <c r="I16" s="8" t="str">
        <f>IF(記録!T18="","",記録!T18)</f>
        <v>渡會 あすか</v>
      </c>
      <c r="J16" s="10" t="str">
        <f>IF(記録!U18="","",記録!U18)</f>
        <v>佃 弘美</v>
      </c>
    </row>
  </sheetData>
  <mergeCells count="4">
    <mergeCell ref="G1:J1"/>
    <mergeCell ref="C1:F1"/>
    <mergeCell ref="G2:J2"/>
    <mergeCell ref="C2:F2"/>
  </mergeCells>
  <phoneticPr fontId="1"/>
  <pageMargins left="0.23622047244094491" right="0.23622047244094491" top="1.0533333333333332" bottom="0.74803149606299213" header="0.31496062992125984" footer="0.31496062992125984"/>
  <pageSetup paperSize="9" scale="75" orientation="portrait" r:id="rId1"/>
  <headerFooter>
    <oddHeader>&amp;C&amp;"メイリオ,ボールド"&amp;28 2021 東尾張エリア弓道大会　チーム記録</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CC626-A5A7-4A9E-9747-17F93B1B419B}">
  <sheetPr>
    <pageSetUpPr fitToPage="1"/>
  </sheetPr>
  <dimension ref="B1:J16"/>
  <sheetViews>
    <sheetView view="pageLayout" zoomScaleNormal="100" workbookViewId="0"/>
  </sheetViews>
  <sheetFormatPr defaultColWidth="3.58203125" defaultRowHeight="38" x14ac:dyDescent="0.55000000000000004"/>
  <cols>
    <col min="1" max="1" width="3.58203125" style="1"/>
    <col min="2" max="2" width="23.58203125" style="1" customWidth="1"/>
    <col min="3" max="10" width="10.9140625" style="1" customWidth="1"/>
    <col min="11" max="11" width="3.58203125" style="1"/>
    <col min="12" max="12" width="3.9140625" style="1" bestFit="1" customWidth="1"/>
    <col min="13" max="14" width="3.58203125" style="1"/>
    <col min="15" max="15" width="3.9140625" style="1" bestFit="1" customWidth="1"/>
    <col min="16" max="16384" width="3.58203125" style="1"/>
  </cols>
  <sheetData>
    <row r="1" spans="2:10" x14ac:dyDescent="0.55000000000000004">
      <c r="B1" s="11" t="s">
        <v>2</v>
      </c>
      <c r="C1" s="207" t="str">
        <f>IF(記録!V38="","",記録!V38)</f>
        <v>西春日井A</v>
      </c>
      <c r="D1" s="205"/>
      <c r="E1" s="205"/>
      <c r="F1" s="205"/>
      <c r="G1" s="204" t="str">
        <f>IF(記録!R38="","",記録!R38)</f>
        <v>西春日井B</v>
      </c>
      <c r="H1" s="205"/>
      <c r="I1" s="205"/>
      <c r="J1" s="206"/>
    </row>
    <row r="2" spans="2:10" x14ac:dyDescent="0.55000000000000004">
      <c r="B2" s="66" t="s">
        <v>3</v>
      </c>
      <c r="C2" s="211">
        <f>IF(記録!V39="","",記録!V39)</f>
        <v>7</v>
      </c>
      <c r="D2" s="209"/>
      <c r="E2" s="209"/>
      <c r="F2" s="209"/>
      <c r="G2" s="208">
        <f>IF(記録!R39="","",記録!R39)</f>
        <v>13</v>
      </c>
      <c r="H2" s="209"/>
      <c r="I2" s="209"/>
      <c r="J2" s="210"/>
    </row>
    <row r="3" spans="2:10" ht="38.5" thickBot="1" x14ac:dyDescent="0.6">
      <c r="B3" s="64" t="s">
        <v>4</v>
      </c>
      <c r="C3" s="67">
        <f>IF(記録!V41="","",記録!V41)</f>
        <v>1</v>
      </c>
      <c r="D3" s="67">
        <f>IF(記録!W41="","",記録!W41)</f>
        <v>2</v>
      </c>
      <c r="E3" s="67">
        <f>IF(記録!X41="","",記録!X41)</f>
        <v>2</v>
      </c>
      <c r="F3" s="68">
        <f>IF(記録!Y41="","",記録!Y41)</f>
        <v>2</v>
      </c>
      <c r="G3" s="69">
        <f>IF(記録!R41="","",記録!R41)</f>
        <v>1</v>
      </c>
      <c r="H3" s="67">
        <f>IF(記録!S41="","",記録!S41)</f>
        <v>4</v>
      </c>
      <c r="I3" s="67">
        <f>IF(記録!T41="","",記録!T41)</f>
        <v>3</v>
      </c>
      <c r="J3" s="70">
        <f>IF(記録!U41="","",記録!U41)</f>
        <v>5</v>
      </c>
    </row>
    <row r="4" spans="2:10" ht="38.5" thickTop="1" x14ac:dyDescent="0.55000000000000004">
      <c r="B4" s="12" t="s">
        <v>19</v>
      </c>
      <c r="C4" s="13">
        <f>IF(記録!V42="","",記録!V42)</f>
        <v>1</v>
      </c>
      <c r="D4" s="13">
        <f>IF(記録!W42="","",記録!W42)</f>
        <v>1</v>
      </c>
      <c r="E4" s="13">
        <f>IF(記録!X42="","",記録!X42)</f>
        <v>1</v>
      </c>
      <c r="F4" s="14">
        <f>IF(記録!Y42="","",記録!Y42)</f>
        <v>1</v>
      </c>
      <c r="G4" s="15">
        <f>IF(記録!R42="","",記録!R42)</f>
        <v>1</v>
      </c>
      <c r="H4" s="13">
        <f>IF(記録!S42="","",記録!S42)</f>
        <v>2</v>
      </c>
      <c r="I4" s="13">
        <f>IF(記録!T42="","",記録!T42)</f>
        <v>1</v>
      </c>
      <c r="J4" s="16">
        <f>IF(記録!U42="","",記録!U42)</f>
        <v>3</v>
      </c>
    </row>
    <row r="5" spans="2:10" ht="51" customHeight="1" x14ac:dyDescent="0.55000000000000004">
      <c r="B5" s="17" t="s">
        <v>22</v>
      </c>
      <c r="C5" s="18" t="str">
        <f>IF(記録!V43="","",記録!V43)</f>
        <v/>
      </c>
      <c r="D5" s="18" t="str">
        <f>IF(記録!W43="","",記録!W43)</f>
        <v/>
      </c>
      <c r="E5" s="18" t="str">
        <f>IF(記録!X43="","",記録!X43)</f>
        <v/>
      </c>
      <c r="F5" s="19" t="str">
        <f>IF(記録!Y43="","",記録!Y43)</f>
        <v>〇</v>
      </c>
      <c r="G5" s="20" t="str">
        <f>IF(記録!R43="","",記録!R43)</f>
        <v/>
      </c>
      <c r="H5" s="18" t="str">
        <f>IF(記録!S43="","",記録!S43)</f>
        <v>〇</v>
      </c>
      <c r="I5" s="18" t="str">
        <f>IF(記録!T43="","",記録!T43)</f>
        <v/>
      </c>
      <c r="J5" s="21" t="str">
        <f>IF(記録!U43="","",記録!U43)</f>
        <v>〇</v>
      </c>
    </row>
    <row r="6" spans="2:10" ht="51" customHeight="1" x14ac:dyDescent="0.55000000000000004">
      <c r="B6" s="22" t="s">
        <v>23</v>
      </c>
      <c r="C6" s="23" t="str">
        <f>IF(記録!V44="","",記録!V44)</f>
        <v>〇</v>
      </c>
      <c r="D6" s="23" t="str">
        <f>IF(記録!W44="","",記録!W44)</f>
        <v/>
      </c>
      <c r="E6" s="23" t="str">
        <f>IF(記録!X44="","",記録!X44)</f>
        <v/>
      </c>
      <c r="F6" s="24" t="str">
        <f>IF(記録!Y44="","",記録!Y44)</f>
        <v/>
      </c>
      <c r="G6" s="25" t="str">
        <f>IF(記録!R44="","",記録!R44)</f>
        <v>〇</v>
      </c>
      <c r="H6" s="23" t="str">
        <f>IF(記録!S44="","",記録!S44)</f>
        <v/>
      </c>
      <c r="I6" s="23" t="str">
        <f>IF(記録!T44="","",記録!T44)</f>
        <v>〇</v>
      </c>
      <c r="J6" s="26" t="str">
        <f>IF(記録!U44="","",記録!U44)</f>
        <v>〇</v>
      </c>
    </row>
    <row r="7" spans="2:10" ht="51" customHeight="1" x14ac:dyDescent="0.55000000000000004">
      <c r="B7" s="22" t="s">
        <v>25</v>
      </c>
      <c r="C7" s="23" t="str">
        <f>IF(記録!V45="","",記録!V45)</f>
        <v/>
      </c>
      <c r="D7" s="23" t="str">
        <f>IF(記録!W45="","",記録!W45)</f>
        <v>〇</v>
      </c>
      <c r="E7" s="23" t="str">
        <f>IF(記録!X45="","",記録!X45)</f>
        <v>〇</v>
      </c>
      <c r="F7" s="24" t="str">
        <f>IF(記録!Y45="","",記録!Y45)</f>
        <v/>
      </c>
      <c r="G7" s="25" t="str">
        <f>IF(記録!R45="","",記録!R45)</f>
        <v/>
      </c>
      <c r="H7" s="23" t="str">
        <f>IF(記録!S45="","",記録!S45)</f>
        <v>〇</v>
      </c>
      <c r="I7" s="23" t="str">
        <f>IF(記録!T45="","",記録!T45)</f>
        <v/>
      </c>
      <c r="J7" s="26" t="str">
        <f>IF(記録!U45="","",記録!U45)</f>
        <v>〇</v>
      </c>
    </row>
    <row r="8" spans="2:10" ht="51" customHeight="1" thickBot="1" x14ac:dyDescent="0.6">
      <c r="B8" s="27" t="s">
        <v>27</v>
      </c>
      <c r="C8" s="28" t="str">
        <f>IF(記録!V46="","",記録!V46)</f>
        <v/>
      </c>
      <c r="D8" s="28" t="str">
        <f>IF(記録!W46="","",記録!W46)</f>
        <v/>
      </c>
      <c r="E8" s="28" t="str">
        <f>IF(記録!X46="","",記録!X46)</f>
        <v/>
      </c>
      <c r="F8" s="29" t="str">
        <f>IF(記録!Y46="","",記録!Y46)</f>
        <v/>
      </c>
      <c r="G8" s="30" t="str">
        <f>IF(記録!R46="","",記録!R46)</f>
        <v/>
      </c>
      <c r="H8" s="28" t="str">
        <f>IF(記録!S46="","",記録!S46)</f>
        <v/>
      </c>
      <c r="I8" s="28" t="str">
        <f>IF(記録!T46="","",記録!T46)</f>
        <v/>
      </c>
      <c r="J8" s="31" t="str">
        <f>IF(記録!U46="","",記録!U46)</f>
        <v/>
      </c>
    </row>
    <row r="9" spans="2:10" x14ac:dyDescent="0.55000000000000004">
      <c r="B9" s="12" t="s">
        <v>20</v>
      </c>
      <c r="C9" s="32">
        <f>IF(記録!V47="","",記録!V47)</f>
        <v>0</v>
      </c>
      <c r="D9" s="32">
        <f>IF(記録!W47="","",記録!W47)</f>
        <v>1</v>
      </c>
      <c r="E9" s="32">
        <f>IF(記録!X47="","",記録!X47)</f>
        <v>1</v>
      </c>
      <c r="F9" s="33">
        <f>IF(記録!Y47="","",記録!Y47)</f>
        <v>1</v>
      </c>
      <c r="G9" s="34">
        <f>IF(記録!R47="","",記録!R47)</f>
        <v>0</v>
      </c>
      <c r="H9" s="32">
        <f>IF(記録!S47="","",記録!S47)</f>
        <v>2</v>
      </c>
      <c r="I9" s="32">
        <f>IF(記録!T47="","",記録!T47)</f>
        <v>2</v>
      </c>
      <c r="J9" s="35">
        <f>IF(記録!U47="","",記録!U47)</f>
        <v>2</v>
      </c>
    </row>
    <row r="10" spans="2:10" ht="51" customHeight="1" x14ac:dyDescent="0.55000000000000004">
      <c r="B10" s="17" t="s">
        <v>22</v>
      </c>
      <c r="C10" s="18" t="str">
        <f>IF(記録!V48="","",記録!V48)</f>
        <v/>
      </c>
      <c r="D10" s="18" t="str">
        <f>IF(記録!W48="","",記録!W48)</f>
        <v/>
      </c>
      <c r="E10" s="18" t="str">
        <f>IF(記録!X48="","",記録!X48)</f>
        <v/>
      </c>
      <c r="F10" s="19" t="str">
        <f>IF(記録!Y48="","",記録!Y48)</f>
        <v/>
      </c>
      <c r="G10" s="20" t="str">
        <f>IF(記録!R48="","",記録!R48)</f>
        <v/>
      </c>
      <c r="H10" s="18" t="str">
        <f>IF(記録!S48="","",記録!S48)</f>
        <v/>
      </c>
      <c r="I10" s="18" t="str">
        <f>IF(記録!T48="","",記録!T48)</f>
        <v/>
      </c>
      <c r="J10" s="21" t="str">
        <f>IF(記録!U48="","",記録!U48)</f>
        <v>〇</v>
      </c>
    </row>
    <row r="11" spans="2:10" ht="51" customHeight="1" x14ac:dyDescent="0.55000000000000004">
      <c r="B11" s="22" t="s">
        <v>23</v>
      </c>
      <c r="C11" s="23" t="str">
        <f>IF(記録!V49="","",記録!V49)</f>
        <v/>
      </c>
      <c r="D11" s="23" t="str">
        <f>IF(記録!W49="","",記録!W49)</f>
        <v>〇</v>
      </c>
      <c r="E11" s="23" t="str">
        <f>IF(記録!X49="","",記録!X49)</f>
        <v/>
      </c>
      <c r="F11" s="24" t="str">
        <f>IF(記録!Y49="","",記録!Y49)</f>
        <v>〇</v>
      </c>
      <c r="G11" s="25" t="str">
        <f>IF(記録!R49="","",記録!R49)</f>
        <v/>
      </c>
      <c r="H11" s="23" t="str">
        <f>IF(記録!S49="","",記録!S49)</f>
        <v>〇</v>
      </c>
      <c r="I11" s="23" t="str">
        <f>IF(記録!T49="","",記録!T49)</f>
        <v>〇</v>
      </c>
      <c r="J11" s="26" t="str">
        <f>IF(記録!U49="","",記録!U49)</f>
        <v>〇</v>
      </c>
    </row>
    <row r="12" spans="2:10" ht="51" customHeight="1" x14ac:dyDescent="0.55000000000000004">
      <c r="B12" s="22" t="s">
        <v>25</v>
      </c>
      <c r="C12" s="23" t="str">
        <f>IF(記録!V50="","",記録!V50)</f>
        <v/>
      </c>
      <c r="D12" s="23" t="str">
        <f>IF(記録!W50="","",記録!W50)</f>
        <v/>
      </c>
      <c r="E12" s="23" t="str">
        <f>IF(記録!X50="","",記録!X50)</f>
        <v>〇</v>
      </c>
      <c r="F12" s="24" t="str">
        <f>IF(記録!Y50="","",記録!Y50)</f>
        <v/>
      </c>
      <c r="G12" s="25" t="str">
        <f>IF(記録!R50="","",記録!R50)</f>
        <v/>
      </c>
      <c r="H12" s="23" t="str">
        <f>IF(記録!S50="","",記録!S50)</f>
        <v/>
      </c>
      <c r="I12" s="23" t="str">
        <f>IF(記録!T50="","",記録!T50)</f>
        <v>〇</v>
      </c>
      <c r="J12" s="26" t="str">
        <f>IF(記録!U50="","",記録!U50)</f>
        <v/>
      </c>
    </row>
    <row r="13" spans="2:10" ht="51" customHeight="1" thickBot="1" x14ac:dyDescent="0.6">
      <c r="B13" s="27" t="s">
        <v>27</v>
      </c>
      <c r="C13" s="28" t="str">
        <f>IF(記録!V51="","",記録!V51)</f>
        <v/>
      </c>
      <c r="D13" s="28" t="str">
        <f>IF(記録!W51="","",記録!W51)</f>
        <v/>
      </c>
      <c r="E13" s="28" t="str">
        <f>IF(記録!X51="","",記録!X51)</f>
        <v/>
      </c>
      <c r="F13" s="29" t="str">
        <f>IF(記録!Y51="","",記録!Y51)</f>
        <v/>
      </c>
      <c r="G13" s="30" t="str">
        <f>IF(記録!R51="","",記録!R51)</f>
        <v/>
      </c>
      <c r="H13" s="28" t="str">
        <f>IF(記録!S51="","",記録!S51)</f>
        <v>〇</v>
      </c>
      <c r="I13" s="28" t="str">
        <f>IF(記録!T51="","",記録!T51)</f>
        <v/>
      </c>
      <c r="J13" s="31" t="str">
        <f>IF(記録!U51="","",記録!U51)</f>
        <v/>
      </c>
    </row>
    <row r="14" spans="2:10" x14ac:dyDescent="0.55000000000000004">
      <c r="B14" s="12" t="s">
        <v>18</v>
      </c>
      <c r="C14" s="32">
        <f>IF(記録!V52="","",記録!V52)</f>
        <v>44</v>
      </c>
      <c r="D14" s="32">
        <f>IF(記録!W52="","",記録!W52)</f>
        <v>43</v>
      </c>
      <c r="E14" s="32">
        <f>IF(記録!X52="","",記録!X52)</f>
        <v>42</v>
      </c>
      <c r="F14" s="33">
        <f>IF(記録!Y52="","",記録!Y52)</f>
        <v>41</v>
      </c>
      <c r="G14" s="34">
        <f>IF(記録!R52="","",記録!R52)</f>
        <v>48</v>
      </c>
      <c r="H14" s="32">
        <f>IF(記録!S52="","",記録!S52)</f>
        <v>47</v>
      </c>
      <c r="I14" s="32">
        <f>IF(記録!T52="","",記録!T52)</f>
        <v>46</v>
      </c>
      <c r="J14" s="35">
        <f>IF(記録!U52="","",記録!U52)</f>
        <v>45</v>
      </c>
    </row>
    <row r="15" spans="2:10" x14ac:dyDescent="0.55000000000000004">
      <c r="B15" s="12" t="s">
        <v>35</v>
      </c>
      <c r="C15" s="36" t="str">
        <f>IF(記録!V53="","",記録!V53)</f>
        <v>男</v>
      </c>
      <c r="D15" s="36" t="str">
        <f>IF(記録!W53="","",記録!W53)</f>
        <v>男</v>
      </c>
      <c r="E15" s="36" t="str">
        <f>IF(記録!X53="","",記録!X53)</f>
        <v>男</v>
      </c>
      <c r="F15" s="37" t="str">
        <f>IF(記録!Y53="","",記録!Y53)</f>
        <v>男</v>
      </c>
      <c r="G15" s="38" t="str">
        <f>IF(記録!R53="","",記録!R53)</f>
        <v>女</v>
      </c>
      <c r="H15" s="36" t="str">
        <f>IF(記録!S53="","",記録!S53)</f>
        <v>女</v>
      </c>
      <c r="I15" s="36" t="str">
        <f>IF(記録!T53="","",記録!T53)</f>
        <v>女</v>
      </c>
      <c r="J15" s="39" t="str">
        <f>IF(記録!U53="","",記録!U53)</f>
        <v>女</v>
      </c>
    </row>
    <row r="16" spans="2:10" ht="245" customHeight="1" thickBot="1" x14ac:dyDescent="0.6">
      <c r="B16" s="3" t="s">
        <v>58</v>
      </c>
      <c r="C16" s="4" t="str">
        <f>IF(記録!V54="","",記録!V54)</f>
        <v>加藤 忠人</v>
      </c>
      <c r="D16" s="4" t="str">
        <f>IF(記録!W54="","",記録!W54)</f>
        <v>大槻 成実</v>
      </c>
      <c r="E16" s="4" t="str">
        <f>IF(記録!X54="","",記録!X54)</f>
        <v>杉原 伸哉</v>
      </c>
      <c r="F16" s="5" t="str">
        <f>IF(記録!Y54="","",記録!Y54)</f>
        <v>丹羽 泰生</v>
      </c>
      <c r="G16" s="6" t="str">
        <f>IF(記録!R54="","",記録!R54)</f>
        <v>白井 千鶴子</v>
      </c>
      <c r="H16" s="4" t="str">
        <f>IF(記録!S54="","",記録!S54)</f>
        <v>荒川 花子</v>
      </c>
      <c r="I16" s="4" t="str">
        <f>IF(記録!T54="","",記録!T54)</f>
        <v>中神 佐知子</v>
      </c>
      <c r="J16" s="7" t="str">
        <f>IF(記録!U54="","",記録!U54)</f>
        <v>村瀬 沙織</v>
      </c>
    </row>
  </sheetData>
  <mergeCells count="4">
    <mergeCell ref="G1:J1"/>
    <mergeCell ref="C1:F1"/>
    <mergeCell ref="G2:J2"/>
    <mergeCell ref="C2:F2"/>
  </mergeCells>
  <phoneticPr fontId="1"/>
  <pageMargins left="0.23622047244094491" right="0.23622047244094491" top="1.0533333333333332" bottom="0.74803149606299213" header="0.31496062992125984" footer="0.31496062992125984"/>
  <pageSetup paperSize="9" scale="75" orientation="portrait" r:id="rId1"/>
  <headerFooter>
    <oddHeader>&amp;C&amp;"メイリオ,ボールド"&amp;28 2021 東尾張エリア弓道大会　チーム記録</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1806-7B54-4B73-9085-3EEA7C3FB6D1}">
  <sheetPr>
    <pageSetUpPr fitToPage="1"/>
  </sheetPr>
  <dimension ref="B1:J16"/>
  <sheetViews>
    <sheetView view="pageLayout" zoomScaleNormal="100" workbookViewId="0"/>
  </sheetViews>
  <sheetFormatPr defaultColWidth="3.58203125" defaultRowHeight="38" x14ac:dyDescent="0.55000000000000004"/>
  <cols>
    <col min="1" max="1" width="3.58203125" style="1"/>
    <col min="2" max="2" width="23.58203125" style="1" customWidth="1"/>
    <col min="3" max="10" width="10.9140625" style="1" customWidth="1"/>
    <col min="11" max="11" width="3.58203125" style="1"/>
    <col min="12" max="12" width="3.9140625" style="1" bestFit="1" customWidth="1"/>
    <col min="13" max="14" width="3.58203125" style="1"/>
    <col min="15" max="15" width="3.9140625" style="1" bestFit="1" customWidth="1"/>
    <col min="16" max="16384" width="3.58203125" style="1"/>
  </cols>
  <sheetData>
    <row r="1" spans="2:10" x14ac:dyDescent="0.55000000000000004">
      <c r="B1" s="11" t="s">
        <v>2</v>
      </c>
      <c r="C1" s="207" t="str">
        <f>IF(記録!N38="","",記録!N38)</f>
        <v>愛知A</v>
      </c>
      <c r="D1" s="205"/>
      <c r="E1" s="205"/>
      <c r="F1" s="205"/>
      <c r="G1" s="204" t="str">
        <f>IF(記録!J38="","",記録!J38)</f>
        <v>瀬戸A</v>
      </c>
      <c r="H1" s="205"/>
      <c r="I1" s="205"/>
      <c r="J1" s="206"/>
    </row>
    <row r="2" spans="2:10" x14ac:dyDescent="0.55000000000000004">
      <c r="B2" s="66" t="s">
        <v>3</v>
      </c>
      <c r="C2" s="211">
        <f>IF(記録!N39="","",記録!N39)</f>
        <v>19</v>
      </c>
      <c r="D2" s="209"/>
      <c r="E2" s="209"/>
      <c r="F2" s="209"/>
      <c r="G2" s="208">
        <f>IF(記録!J39="","",記録!J39)</f>
        <v>14</v>
      </c>
      <c r="H2" s="209"/>
      <c r="I2" s="209"/>
      <c r="J2" s="210"/>
    </row>
    <row r="3" spans="2:10" ht="38.5" thickBot="1" x14ac:dyDescent="0.6">
      <c r="B3" s="64" t="s">
        <v>4</v>
      </c>
      <c r="C3" s="67">
        <f>IF(記録!N41="","",記録!N41)</f>
        <v>6</v>
      </c>
      <c r="D3" s="67">
        <f>IF(記録!O41="","",記録!O41)</f>
        <v>5</v>
      </c>
      <c r="E3" s="67">
        <f>IF(記録!P41="","",記録!P41)</f>
        <v>4</v>
      </c>
      <c r="F3" s="68">
        <f>IF(記録!Q41="","",記録!Q41)</f>
        <v>4</v>
      </c>
      <c r="G3" s="69">
        <f>IF(記録!J41="","",記録!J41)</f>
        <v>3</v>
      </c>
      <c r="H3" s="67">
        <f>IF(記録!K41="","",記録!K41)</f>
        <v>3</v>
      </c>
      <c r="I3" s="67">
        <f>IF(記録!L41="","",記録!L41)</f>
        <v>6</v>
      </c>
      <c r="J3" s="70">
        <f>IF(記録!M41="","",記録!M41)</f>
        <v>2</v>
      </c>
    </row>
    <row r="4" spans="2:10" ht="38.5" thickTop="1" x14ac:dyDescent="0.55000000000000004">
      <c r="B4" s="12" t="s">
        <v>19</v>
      </c>
      <c r="C4" s="13">
        <f>IF(記録!N42="","",記録!N42)</f>
        <v>3</v>
      </c>
      <c r="D4" s="13">
        <f>IF(記録!O42="","",記録!O42)</f>
        <v>2</v>
      </c>
      <c r="E4" s="13">
        <f>IF(記録!P42="","",記録!P42)</f>
        <v>2</v>
      </c>
      <c r="F4" s="14">
        <f>IF(記録!Q42="","",記録!Q42)</f>
        <v>2</v>
      </c>
      <c r="G4" s="15">
        <f>IF(記録!J42="","",記録!J42)</f>
        <v>2</v>
      </c>
      <c r="H4" s="13">
        <f>IF(記録!K42="","",記録!K42)</f>
        <v>1</v>
      </c>
      <c r="I4" s="13">
        <f>IF(記録!L42="","",記録!L42)</f>
        <v>3</v>
      </c>
      <c r="J4" s="16">
        <f>IF(記録!M42="","",記録!M42)</f>
        <v>1</v>
      </c>
    </row>
    <row r="5" spans="2:10" ht="51" customHeight="1" x14ac:dyDescent="0.55000000000000004">
      <c r="B5" s="17" t="s">
        <v>22</v>
      </c>
      <c r="C5" s="18" t="str">
        <f>IF(記録!N43="","",記録!N43)</f>
        <v>〇</v>
      </c>
      <c r="D5" s="18" t="str">
        <f>IF(記録!O43="","",記録!O43)</f>
        <v>〇</v>
      </c>
      <c r="E5" s="18" t="str">
        <f>IF(記録!P43="","",記録!P43)</f>
        <v/>
      </c>
      <c r="F5" s="19" t="str">
        <f>IF(記録!Q43="","",記録!Q43)</f>
        <v/>
      </c>
      <c r="G5" s="20" t="str">
        <f>IF(記録!J43="","",記録!J43)</f>
        <v>〇</v>
      </c>
      <c r="H5" s="18" t="str">
        <f>IF(記録!K43="","",記録!K43)</f>
        <v/>
      </c>
      <c r="I5" s="18" t="str">
        <f>IF(記録!L43="","",記録!L43)</f>
        <v/>
      </c>
      <c r="J5" s="21" t="str">
        <f>IF(記録!M43="","",記録!M43)</f>
        <v>〇</v>
      </c>
    </row>
    <row r="6" spans="2:10" ht="51" customHeight="1" x14ac:dyDescent="0.55000000000000004">
      <c r="B6" s="22" t="s">
        <v>23</v>
      </c>
      <c r="C6" s="23" t="str">
        <f>IF(記録!N44="","",記録!N44)</f>
        <v>〇</v>
      </c>
      <c r="D6" s="23" t="str">
        <f>IF(記録!O44="","",記録!O44)</f>
        <v/>
      </c>
      <c r="E6" s="23" t="str">
        <f>IF(記録!P44="","",記録!P44)</f>
        <v>〇</v>
      </c>
      <c r="F6" s="24" t="str">
        <f>IF(記録!Q44="","",記録!Q44)</f>
        <v/>
      </c>
      <c r="G6" s="25" t="str">
        <f>IF(記録!J44="","",記録!J44)</f>
        <v/>
      </c>
      <c r="H6" s="23" t="str">
        <f>IF(記録!K44="","",記録!K44)</f>
        <v>〇</v>
      </c>
      <c r="I6" s="23" t="str">
        <f>IF(記録!L44="","",記録!L44)</f>
        <v>〇</v>
      </c>
      <c r="J6" s="26" t="str">
        <f>IF(記録!M44="","",記録!M44)</f>
        <v/>
      </c>
    </row>
    <row r="7" spans="2:10" ht="51" customHeight="1" x14ac:dyDescent="0.55000000000000004">
      <c r="B7" s="22" t="s">
        <v>25</v>
      </c>
      <c r="C7" s="23" t="str">
        <f>IF(記録!N45="","",記録!N45)</f>
        <v/>
      </c>
      <c r="D7" s="23" t="str">
        <f>IF(記録!O45="","",記録!O45)</f>
        <v>〇</v>
      </c>
      <c r="E7" s="23" t="str">
        <f>IF(記録!P45="","",記録!P45)</f>
        <v/>
      </c>
      <c r="F7" s="24" t="str">
        <f>IF(記録!Q45="","",記録!Q45)</f>
        <v>〇</v>
      </c>
      <c r="G7" s="25" t="str">
        <f>IF(記録!J45="","",記録!J45)</f>
        <v>〇</v>
      </c>
      <c r="H7" s="23" t="str">
        <f>IF(記録!K45="","",記録!K45)</f>
        <v/>
      </c>
      <c r="I7" s="23" t="str">
        <f>IF(記録!L45="","",記録!L45)</f>
        <v>〇</v>
      </c>
      <c r="J7" s="26" t="str">
        <f>IF(記録!M45="","",記録!M45)</f>
        <v/>
      </c>
    </row>
    <row r="8" spans="2:10" ht="51" customHeight="1" thickBot="1" x14ac:dyDescent="0.6">
      <c r="B8" s="27" t="s">
        <v>27</v>
      </c>
      <c r="C8" s="28" t="str">
        <f>IF(記録!N46="","",記録!N46)</f>
        <v>〇</v>
      </c>
      <c r="D8" s="28" t="str">
        <f>IF(記録!O46="","",記録!O46)</f>
        <v/>
      </c>
      <c r="E8" s="28" t="str">
        <f>IF(記録!P46="","",記録!P46)</f>
        <v>〇</v>
      </c>
      <c r="F8" s="29" t="str">
        <f>IF(記録!Q46="","",記録!Q46)</f>
        <v>〇</v>
      </c>
      <c r="G8" s="30" t="str">
        <f>IF(記録!J46="","",記録!J46)</f>
        <v/>
      </c>
      <c r="H8" s="28" t="str">
        <f>IF(記録!K46="","",記録!K46)</f>
        <v/>
      </c>
      <c r="I8" s="28" t="str">
        <f>IF(記録!L46="","",記録!L46)</f>
        <v>〇</v>
      </c>
      <c r="J8" s="31" t="str">
        <f>IF(記録!M46="","",記録!M46)</f>
        <v/>
      </c>
    </row>
    <row r="9" spans="2:10" x14ac:dyDescent="0.55000000000000004">
      <c r="B9" s="12" t="s">
        <v>20</v>
      </c>
      <c r="C9" s="32">
        <f>IF(記録!N47="","",記録!N47)</f>
        <v>3</v>
      </c>
      <c r="D9" s="32">
        <f>IF(記録!O47="","",記録!O47)</f>
        <v>3</v>
      </c>
      <c r="E9" s="32">
        <f>IF(記録!P47="","",記録!P47)</f>
        <v>2</v>
      </c>
      <c r="F9" s="33">
        <f>IF(記録!Q47="","",記録!Q47)</f>
        <v>2</v>
      </c>
      <c r="G9" s="34">
        <f>IF(記録!J47="","",記録!J47)</f>
        <v>1</v>
      </c>
      <c r="H9" s="32">
        <f>IF(記録!K47="","",記録!K47)</f>
        <v>2</v>
      </c>
      <c r="I9" s="32">
        <f>IF(記録!L47="","",記録!L47)</f>
        <v>3</v>
      </c>
      <c r="J9" s="35">
        <f>IF(記録!M47="","",記録!M47)</f>
        <v>1</v>
      </c>
    </row>
    <row r="10" spans="2:10" ht="51" customHeight="1" x14ac:dyDescent="0.55000000000000004">
      <c r="B10" s="17" t="s">
        <v>22</v>
      </c>
      <c r="C10" s="18" t="str">
        <f>IF(記録!N48="","",記録!N48)</f>
        <v/>
      </c>
      <c r="D10" s="18" t="str">
        <f>IF(記録!O48="","",記録!O48)</f>
        <v>〇</v>
      </c>
      <c r="E10" s="18" t="str">
        <f>IF(記録!P48="","",記録!P48)</f>
        <v/>
      </c>
      <c r="F10" s="19" t="str">
        <f>IF(記録!Q48="","",記録!Q48)</f>
        <v>〇</v>
      </c>
      <c r="G10" s="20" t="str">
        <f>IF(記録!J48="","",記録!J48)</f>
        <v/>
      </c>
      <c r="H10" s="18" t="str">
        <f>IF(記録!K48="","",記録!K48)</f>
        <v>〇</v>
      </c>
      <c r="I10" s="18" t="str">
        <f>IF(記録!L48="","",記録!L48)</f>
        <v/>
      </c>
      <c r="J10" s="21" t="str">
        <f>IF(記録!M48="","",記録!M48)</f>
        <v/>
      </c>
    </row>
    <row r="11" spans="2:10" ht="51" customHeight="1" x14ac:dyDescent="0.55000000000000004">
      <c r="B11" s="22" t="s">
        <v>23</v>
      </c>
      <c r="C11" s="23" t="str">
        <f>IF(記録!N49="","",記録!N49)</f>
        <v>〇</v>
      </c>
      <c r="D11" s="23" t="str">
        <f>IF(記録!O49="","",記録!O49)</f>
        <v>〇</v>
      </c>
      <c r="E11" s="23" t="str">
        <f>IF(記録!P49="","",記録!P49)</f>
        <v>〇</v>
      </c>
      <c r="F11" s="24" t="str">
        <f>IF(記録!Q49="","",記録!Q49)</f>
        <v/>
      </c>
      <c r="G11" s="25" t="str">
        <f>IF(記録!J49="","",記録!J49)</f>
        <v>〇</v>
      </c>
      <c r="H11" s="23" t="str">
        <f>IF(記録!K49="","",記録!K49)</f>
        <v/>
      </c>
      <c r="I11" s="23" t="str">
        <f>IF(記録!L49="","",記録!L49)</f>
        <v>〇</v>
      </c>
      <c r="J11" s="26" t="str">
        <f>IF(記録!M49="","",記録!M49)</f>
        <v/>
      </c>
    </row>
    <row r="12" spans="2:10" ht="51" customHeight="1" x14ac:dyDescent="0.55000000000000004">
      <c r="B12" s="22" t="s">
        <v>25</v>
      </c>
      <c r="C12" s="23" t="str">
        <f>IF(記録!N50="","",記録!N50)</f>
        <v>〇</v>
      </c>
      <c r="D12" s="23" t="str">
        <f>IF(記録!O50="","",記録!O50)</f>
        <v>〇</v>
      </c>
      <c r="E12" s="23" t="str">
        <f>IF(記録!P50="","",記録!P50)</f>
        <v/>
      </c>
      <c r="F12" s="24" t="str">
        <f>IF(記録!Q50="","",記録!Q50)</f>
        <v>〇</v>
      </c>
      <c r="G12" s="25" t="str">
        <f>IF(記録!J50="","",記録!J50)</f>
        <v/>
      </c>
      <c r="H12" s="23" t="str">
        <f>IF(記録!K50="","",記録!K50)</f>
        <v>〇</v>
      </c>
      <c r="I12" s="23" t="str">
        <f>IF(記録!L50="","",記録!L50)</f>
        <v>〇</v>
      </c>
      <c r="J12" s="26" t="str">
        <f>IF(記録!M50="","",記録!M50)</f>
        <v/>
      </c>
    </row>
    <row r="13" spans="2:10" ht="51" customHeight="1" thickBot="1" x14ac:dyDescent="0.6">
      <c r="B13" s="27" t="s">
        <v>27</v>
      </c>
      <c r="C13" s="28" t="str">
        <f>IF(記録!N51="","",記録!N51)</f>
        <v>〇</v>
      </c>
      <c r="D13" s="28" t="str">
        <f>IF(記録!O51="","",記録!O51)</f>
        <v/>
      </c>
      <c r="E13" s="28" t="str">
        <f>IF(記録!P51="","",記録!P51)</f>
        <v>〇</v>
      </c>
      <c r="F13" s="29" t="str">
        <f>IF(記録!Q51="","",記録!Q51)</f>
        <v/>
      </c>
      <c r="G13" s="30" t="str">
        <f>IF(記録!J51="","",記録!J51)</f>
        <v/>
      </c>
      <c r="H13" s="28" t="str">
        <f>IF(記録!K51="","",記録!K51)</f>
        <v/>
      </c>
      <c r="I13" s="28" t="str">
        <f>IF(記録!L51="","",記録!L51)</f>
        <v>〇</v>
      </c>
      <c r="J13" s="31" t="str">
        <f>IF(記録!M51="","",記録!M51)</f>
        <v>〇</v>
      </c>
    </row>
    <row r="14" spans="2:10" x14ac:dyDescent="0.55000000000000004">
      <c r="B14" s="12" t="s">
        <v>18</v>
      </c>
      <c r="C14" s="32">
        <f>IF(記録!N52="","",記録!N52)</f>
        <v>52</v>
      </c>
      <c r="D14" s="32">
        <f>IF(記録!O52="","",記録!O52)</f>
        <v>51</v>
      </c>
      <c r="E14" s="32">
        <f>IF(記録!P52="","",記録!P52)</f>
        <v>50</v>
      </c>
      <c r="F14" s="33">
        <f>IF(記録!Q52="","",記録!Q52)</f>
        <v>49</v>
      </c>
      <c r="G14" s="34">
        <f>IF(記録!J52="","",記録!J52)</f>
        <v>56</v>
      </c>
      <c r="H14" s="32">
        <f>IF(記録!K52="","",記録!K52)</f>
        <v>55</v>
      </c>
      <c r="I14" s="32">
        <f>IF(記録!L52="","",記録!L52)</f>
        <v>54</v>
      </c>
      <c r="J14" s="35">
        <f>IF(記録!M52="","",記録!M52)</f>
        <v>53</v>
      </c>
    </row>
    <row r="15" spans="2:10" x14ac:dyDescent="0.55000000000000004">
      <c r="B15" s="12" t="s">
        <v>35</v>
      </c>
      <c r="C15" s="36" t="str">
        <f>IF(記録!N53="","",記録!N53)</f>
        <v>男</v>
      </c>
      <c r="D15" s="36" t="str">
        <f>IF(記録!O53="","",記録!O53)</f>
        <v>男</v>
      </c>
      <c r="E15" s="36" t="str">
        <f>IF(記録!P53="","",記録!P53)</f>
        <v>男</v>
      </c>
      <c r="F15" s="37" t="str">
        <f>IF(記録!Q53="","",記録!Q53)</f>
        <v>男</v>
      </c>
      <c r="G15" s="38" t="str">
        <f>IF(記録!J53="","",記録!J53)</f>
        <v>男</v>
      </c>
      <c r="H15" s="36" t="str">
        <f>IF(記録!K53="","",記録!K53)</f>
        <v>男</v>
      </c>
      <c r="I15" s="36" t="str">
        <f>IF(記録!L53="","",記録!L53)</f>
        <v>男</v>
      </c>
      <c r="J15" s="39" t="str">
        <f>IF(記録!M53="","",記録!M53)</f>
        <v>男</v>
      </c>
    </row>
    <row r="16" spans="2:10" ht="245" customHeight="1" thickBot="1" x14ac:dyDescent="0.6">
      <c r="B16" s="3" t="s">
        <v>58</v>
      </c>
      <c r="C16" s="4" t="str">
        <f>IF(記録!N54="","",記録!N54)</f>
        <v>木村 憲司</v>
      </c>
      <c r="D16" s="4" t="str">
        <f>IF(記録!O54="","",記録!O54)</f>
        <v>小沢 浩寿</v>
      </c>
      <c r="E16" s="4" t="str">
        <f>IF(記録!P54="","",記録!P54)</f>
        <v>平野 良則</v>
      </c>
      <c r="F16" s="5" t="str">
        <f>IF(記録!Q54="","",記録!Q54)</f>
        <v>門矢 誠</v>
      </c>
      <c r="G16" s="6" t="str">
        <f>IF(記録!J54="","",記録!J54)</f>
        <v>長江 辰彦</v>
      </c>
      <c r="H16" s="4" t="str">
        <f>IF(記録!K54="","",記録!K54)</f>
        <v>加藤 広史</v>
      </c>
      <c r="I16" s="4" t="str">
        <f>IF(記録!L54="","",記録!L54)</f>
        <v>野村 清美</v>
      </c>
      <c r="J16" s="7" t="str">
        <f>IF(記録!M54="","",記録!M54)</f>
        <v>矢島 悟朗</v>
      </c>
    </row>
  </sheetData>
  <mergeCells count="4">
    <mergeCell ref="G1:J1"/>
    <mergeCell ref="C1:F1"/>
    <mergeCell ref="G2:J2"/>
    <mergeCell ref="C2:F2"/>
  </mergeCells>
  <phoneticPr fontId="1"/>
  <pageMargins left="0.23622047244094491" right="0.23622047244094491" top="1.0533333333333332" bottom="0.74803149606299213" header="0.31496062992125984" footer="0.31496062992125984"/>
  <pageSetup paperSize="9" scale="75" orientation="portrait" r:id="rId1"/>
  <headerFooter>
    <oddHeader>&amp;C&amp;"メイリオ,ボールド"&amp;28 2021 東尾張エリア弓道大会　チーム記録</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CA82C-65A1-4EE4-9CDB-90449E91ED29}">
  <sheetPr>
    <pageSetUpPr fitToPage="1"/>
  </sheetPr>
  <dimension ref="B1:J16"/>
  <sheetViews>
    <sheetView view="pageLayout" zoomScaleNormal="100" workbookViewId="0"/>
  </sheetViews>
  <sheetFormatPr defaultColWidth="3.58203125" defaultRowHeight="38" x14ac:dyDescent="0.55000000000000004"/>
  <cols>
    <col min="1" max="1" width="3.58203125" style="1"/>
    <col min="2" max="2" width="23.58203125" style="1" customWidth="1"/>
    <col min="3" max="10" width="10.9140625" style="1" customWidth="1"/>
    <col min="11" max="11" width="3.58203125" style="1"/>
    <col min="12" max="12" width="3.9140625" style="1" bestFit="1" customWidth="1"/>
    <col min="13" max="14" width="3.58203125" style="1"/>
    <col min="15" max="15" width="3.9140625" style="1" bestFit="1" customWidth="1"/>
    <col min="16" max="16384" width="3.58203125" style="1"/>
  </cols>
  <sheetData>
    <row r="1" spans="2:10" x14ac:dyDescent="0.55000000000000004">
      <c r="B1" s="40" t="s">
        <v>2</v>
      </c>
      <c r="C1" s="205" t="str">
        <f>IF(記録!B56="","",記録!B56)</f>
        <v>ダミーA</v>
      </c>
      <c r="D1" s="205"/>
      <c r="E1" s="205"/>
      <c r="F1" s="205"/>
      <c r="G1" s="204" t="str">
        <f>IF(記録!F38="","",記録!F38)</f>
        <v>瀬戸B</v>
      </c>
      <c r="H1" s="205"/>
      <c r="I1" s="205"/>
      <c r="J1" s="206"/>
    </row>
    <row r="2" spans="2:10" x14ac:dyDescent="0.55000000000000004">
      <c r="B2" s="65" t="s">
        <v>3</v>
      </c>
      <c r="C2" s="211">
        <f>IF(記録!B57="","",記録!B57)</f>
        <v>0</v>
      </c>
      <c r="D2" s="209"/>
      <c r="E2" s="209"/>
      <c r="F2" s="209"/>
      <c r="G2" s="208">
        <f>IF(記録!F39="","",記録!F39)</f>
        <v>15</v>
      </c>
      <c r="H2" s="209"/>
      <c r="I2" s="209"/>
      <c r="J2" s="210"/>
    </row>
    <row r="3" spans="2:10" ht="38.5" thickBot="1" x14ac:dyDescent="0.6">
      <c r="B3" s="63" t="s">
        <v>4</v>
      </c>
      <c r="C3" s="71">
        <f>IF(記録!B59="","",記録!B59)</f>
        <v>0</v>
      </c>
      <c r="D3" s="71">
        <f>IF(記録!C59="","",記録!C59)</f>
        <v>0</v>
      </c>
      <c r="E3" s="71">
        <f>IF(記録!D59="","",記録!D59)</f>
        <v>0</v>
      </c>
      <c r="F3" s="72">
        <f>IF(記録!E59="","",記録!E59)</f>
        <v>0</v>
      </c>
      <c r="G3" s="73">
        <f>IF(記録!F41="","",記録!F41)</f>
        <v>3</v>
      </c>
      <c r="H3" s="71">
        <f>IF(記録!G41="","",記録!G41)</f>
        <v>5</v>
      </c>
      <c r="I3" s="71">
        <f>IF(記録!H41="","",記録!H41)</f>
        <v>4</v>
      </c>
      <c r="J3" s="74">
        <f>IF(記録!I41="","",記録!I41)</f>
        <v>3</v>
      </c>
    </row>
    <row r="4" spans="2:10" ht="38.5" thickTop="1" x14ac:dyDescent="0.55000000000000004">
      <c r="B4" s="41" t="s">
        <v>19</v>
      </c>
      <c r="C4" s="13">
        <f>IF(記録!B60="","",記録!B60)</f>
        <v>0</v>
      </c>
      <c r="D4" s="13">
        <f>IF(記録!C60="","",記録!C60)</f>
        <v>0</v>
      </c>
      <c r="E4" s="13">
        <f>IF(記録!D60="","",記録!D60)</f>
        <v>0</v>
      </c>
      <c r="F4" s="14">
        <f>IF(記録!E60="","",記録!E60)</f>
        <v>0</v>
      </c>
      <c r="G4" s="15">
        <f>IF(記録!F42="","",記録!F42)</f>
        <v>2</v>
      </c>
      <c r="H4" s="13">
        <f>IF(記録!G42="","",記録!G42)</f>
        <v>2</v>
      </c>
      <c r="I4" s="13">
        <f>IF(記録!H42="","",記録!H42)</f>
        <v>2</v>
      </c>
      <c r="J4" s="16">
        <f>IF(記録!I42="","",記録!I42)</f>
        <v>2</v>
      </c>
    </row>
    <row r="5" spans="2:10" ht="51" customHeight="1" x14ac:dyDescent="0.55000000000000004">
      <c r="B5" s="42" t="s">
        <v>22</v>
      </c>
      <c r="C5" s="18" t="str">
        <f>IF(記録!B61="","",記録!B61)</f>
        <v/>
      </c>
      <c r="D5" s="18" t="str">
        <f>IF(記録!C61="","",記録!C61)</f>
        <v/>
      </c>
      <c r="E5" s="18" t="str">
        <f>IF(記録!D61="","",記録!D61)</f>
        <v/>
      </c>
      <c r="F5" s="19" t="str">
        <f>IF(記録!E61="","",記録!E61)</f>
        <v/>
      </c>
      <c r="G5" s="20" t="str">
        <f>IF(記録!F43="","",記録!F43)</f>
        <v>〇</v>
      </c>
      <c r="H5" s="18" t="str">
        <f>IF(記録!G43="","",記録!G43)</f>
        <v/>
      </c>
      <c r="I5" s="18" t="str">
        <f>IF(記録!H43="","",記録!H43)</f>
        <v/>
      </c>
      <c r="J5" s="21" t="str">
        <f>IF(記録!I43="","",記録!I43)</f>
        <v>〇</v>
      </c>
    </row>
    <row r="6" spans="2:10" ht="51" customHeight="1" x14ac:dyDescent="0.55000000000000004">
      <c r="B6" s="43" t="s">
        <v>23</v>
      </c>
      <c r="C6" s="23" t="str">
        <f>IF(記録!B62="","",記録!B62)</f>
        <v/>
      </c>
      <c r="D6" s="23" t="str">
        <f>IF(記録!C62="","",記録!C62)</f>
        <v/>
      </c>
      <c r="E6" s="23" t="str">
        <f>IF(記録!D62="","",記録!D62)</f>
        <v/>
      </c>
      <c r="F6" s="24" t="str">
        <f>IF(記録!E62="","",記録!E62)</f>
        <v/>
      </c>
      <c r="G6" s="25" t="str">
        <f>IF(記録!F44="","",記録!F44)</f>
        <v/>
      </c>
      <c r="H6" s="23" t="str">
        <f>IF(記録!G44="","",記録!G44)</f>
        <v>〇</v>
      </c>
      <c r="I6" s="23" t="str">
        <f>IF(記録!H44="","",記録!H44)</f>
        <v>〇</v>
      </c>
      <c r="J6" s="26" t="str">
        <f>IF(記録!I44="","",記録!I44)</f>
        <v/>
      </c>
    </row>
    <row r="7" spans="2:10" ht="51" customHeight="1" x14ac:dyDescent="0.55000000000000004">
      <c r="B7" s="43" t="s">
        <v>25</v>
      </c>
      <c r="C7" s="23" t="str">
        <f>IF(記録!B63="","",記録!B63)</f>
        <v/>
      </c>
      <c r="D7" s="23" t="str">
        <f>IF(記録!C63="","",記録!C63)</f>
        <v/>
      </c>
      <c r="E7" s="23" t="str">
        <f>IF(記録!D63="","",記録!D63)</f>
        <v/>
      </c>
      <c r="F7" s="24" t="str">
        <f>IF(記録!E63="","",記録!E63)</f>
        <v/>
      </c>
      <c r="G7" s="25" t="str">
        <f>IF(記録!F45="","",記録!F45)</f>
        <v/>
      </c>
      <c r="H7" s="23" t="str">
        <f>IF(記録!G45="","",記録!G45)</f>
        <v>〇</v>
      </c>
      <c r="I7" s="23" t="str">
        <f>IF(記録!H45="","",記録!H45)</f>
        <v>〇</v>
      </c>
      <c r="J7" s="26" t="str">
        <f>IF(記録!I45="","",記録!I45)</f>
        <v/>
      </c>
    </row>
    <row r="8" spans="2:10" ht="51" customHeight="1" thickBot="1" x14ac:dyDescent="0.6">
      <c r="B8" s="44" t="s">
        <v>27</v>
      </c>
      <c r="C8" s="28" t="str">
        <f>IF(記録!B64="","",記録!B64)</f>
        <v/>
      </c>
      <c r="D8" s="28" t="str">
        <f>IF(記録!C64="","",記録!C64)</f>
        <v/>
      </c>
      <c r="E8" s="28" t="str">
        <f>IF(記録!D64="","",記録!D64)</f>
        <v/>
      </c>
      <c r="F8" s="29" t="str">
        <f>IF(記録!E64="","",記録!E64)</f>
        <v/>
      </c>
      <c r="G8" s="30" t="str">
        <f>IF(記録!F46="","",記録!F46)</f>
        <v>〇</v>
      </c>
      <c r="H8" s="28" t="str">
        <f>IF(記録!G46="","",記録!G46)</f>
        <v/>
      </c>
      <c r="I8" s="28" t="str">
        <f>IF(記録!H46="","",記録!H46)</f>
        <v/>
      </c>
      <c r="J8" s="31" t="str">
        <f>IF(記録!I46="","",記録!I46)</f>
        <v>〇</v>
      </c>
    </row>
    <row r="9" spans="2:10" x14ac:dyDescent="0.55000000000000004">
      <c r="B9" s="41" t="s">
        <v>20</v>
      </c>
      <c r="C9" s="32">
        <f>IF(記録!B65="","",記録!B65)</f>
        <v>0</v>
      </c>
      <c r="D9" s="32">
        <f>IF(記録!C65="","",記録!C65)</f>
        <v>0</v>
      </c>
      <c r="E9" s="32">
        <f>IF(記録!D65="","",記録!D65)</f>
        <v>0</v>
      </c>
      <c r="F9" s="33">
        <f>IF(記録!E65="","",記録!E65)</f>
        <v>0</v>
      </c>
      <c r="G9" s="34">
        <f>IF(記録!F47="","",記録!F47)</f>
        <v>1</v>
      </c>
      <c r="H9" s="32">
        <f>IF(記録!G47="","",記録!G47)</f>
        <v>3</v>
      </c>
      <c r="I9" s="32">
        <f>IF(記録!H47="","",記録!H47)</f>
        <v>2</v>
      </c>
      <c r="J9" s="35">
        <f>IF(記録!I47="","",記録!I47)</f>
        <v>1</v>
      </c>
    </row>
    <row r="10" spans="2:10" ht="51" customHeight="1" x14ac:dyDescent="0.55000000000000004">
      <c r="B10" s="42" t="s">
        <v>22</v>
      </c>
      <c r="C10" s="18" t="str">
        <f>IF(記録!B66="","",記録!B66)</f>
        <v/>
      </c>
      <c r="D10" s="18" t="str">
        <f>IF(記録!C66="","",記録!C66)</f>
        <v/>
      </c>
      <c r="E10" s="18" t="str">
        <f>IF(記録!D66="","",記録!D66)</f>
        <v/>
      </c>
      <c r="F10" s="19" t="str">
        <f>IF(記録!E66="","",記録!E66)</f>
        <v/>
      </c>
      <c r="G10" s="20" t="str">
        <f>IF(記録!F48="","",記録!F48)</f>
        <v/>
      </c>
      <c r="H10" s="18" t="str">
        <f>IF(記録!G48="","",記録!G48)</f>
        <v>〇</v>
      </c>
      <c r="I10" s="18" t="str">
        <f>IF(記録!H48="","",記録!H48)</f>
        <v/>
      </c>
      <c r="J10" s="21" t="str">
        <f>IF(記録!I48="","",記録!I48)</f>
        <v/>
      </c>
    </row>
    <row r="11" spans="2:10" ht="51" customHeight="1" x14ac:dyDescent="0.55000000000000004">
      <c r="B11" s="43" t="s">
        <v>23</v>
      </c>
      <c r="C11" s="23" t="str">
        <f>IF(記録!B67="","",記録!B67)</f>
        <v/>
      </c>
      <c r="D11" s="23" t="str">
        <f>IF(記録!C67="","",記録!C67)</f>
        <v/>
      </c>
      <c r="E11" s="23" t="str">
        <f>IF(記録!D67="","",記録!D67)</f>
        <v/>
      </c>
      <c r="F11" s="24" t="str">
        <f>IF(記録!E67="","",記録!E67)</f>
        <v/>
      </c>
      <c r="G11" s="25" t="str">
        <f>IF(記録!F49="","",記録!F49)</f>
        <v>〇</v>
      </c>
      <c r="H11" s="23" t="str">
        <f>IF(記録!G49="","",記録!G49)</f>
        <v/>
      </c>
      <c r="I11" s="23" t="str">
        <f>IF(記録!H49="","",記録!H49)</f>
        <v>〇</v>
      </c>
      <c r="J11" s="26" t="str">
        <f>IF(記録!I49="","",記録!I49)</f>
        <v/>
      </c>
    </row>
    <row r="12" spans="2:10" ht="51" customHeight="1" x14ac:dyDescent="0.55000000000000004">
      <c r="B12" s="43" t="s">
        <v>25</v>
      </c>
      <c r="C12" s="23" t="str">
        <f>IF(記録!B68="","",記録!B68)</f>
        <v/>
      </c>
      <c r="D12" s="23" t="str">
        <f>IF(記録!C68="","",記録!C68)</f>
        <v/>
      </c>
      <c r="E12" s="23" t="str">
        <f>IF(記録!D68="","",記録!D68)</f>
        <v/>
      </c>
      <c r="F12" s="24" t="str">
        <f>IF(記録!E68="","",記録!E68)</f>
        <v/>
      </c>
      <c r="G12" s="25" t="str">
        <f>IF(記録!F50="","",記録!F50)</f>
        <v/>
      </c>
      <c r="H12" s="23" t="str">
        <f>IF(記録!G50="","",記録!G50)</f>
        <v>〇</v>
      </c>
      <c r="I12" s="23" t="str">
        <f>IF(記録!H50="","",記録!H50)</f>
        <v>〇</v>
      </c>
      <c r="J12" s="26" t="str">
        <f>IF(記録!I50="","",記録!I50)</f>
        <v/>
      </c>
    </row>
    <row r="13" spans="2:10" ht="51" customHeight="1" thickBot="1" x14ac:dyDescent="0.6">
      <c r="B13" s="44" t="s">
        <v>27</v>
      </c>
      <c r="C13" s="28" t="str">
        <f>IF(記録!B69="","",記録!B69)</f>
        <v/>
      </c>
      <c r="D13" s="28" t="str">
        <f>IF(記録!C69="","",記録!C69)</f>
        <v/>
      </c>
      <c r="E13" s="28" t="str">
        <f>IF(記録!D69="","",記録!D69)</f>
        <v/>
      </c>
      <c r="F13" s="29" t="str">
        <f>IF(記録!E69="","",記録!E69)</f>
        <v/>
      </c>
      <c r="G13" s="30" t="str">
        <f>IF(記録!F51="","",記録!F51)</f>
        <v/>
      </c>
      <c r="H13" s="28" t="str">
        <f>IF(記録!G51="","",記録!G51)</f>
        <v>〇</v>
      </c>
      <c r="I13" s="28" t="str">
        <f>IF(記録!H51="","",記録!H51)</f>
        <v/>
      </c>
      <c r="J13" s="31" t="str">
        <f>IF(記録!I51="","",記録!I51)</f>
        <v>〇</v>
      </c>
    </row>
    <row r="14" spans="2:10" x14ac:dyDescent="0.55000000000000004">
      <c r="B14" s="41" t="s">
        <v>18</v>
      </c>
      <c r="C14" s="32">
        <f>IF(記録!B70="","",記録!B70)</f>
        <v>64</v>
      </c>
      <c r="D14" s="32">
        <f>IF(記録!C70="","",記録!C70)</f>
        <v>63</v>
      </c>
      <c r="E14" s="32">
        <f>IF(記録!D70="","",記録!D70)</f>
        <v>62</v>
      </c>
      <c r="F14" s="33">
        <f>IF(記録!E70="","",記録!E70)</f>
        <v>61</v>
      </c>
      <c r="G14" s="34">
        <f>IF(記録!F52="","",記録!F52)</f>
        <v>60</v>
      </c>
      <c r="H14" s="32">
        <f>IF(記録!G52="","",記録!G52)</f>
        <v>59</v>
      </c>
      <c r="I14" s="32">
        <f>IF(記録!H52="","",記録!H52)</f>
        <v>58</v>
      </c>
      <c r="J14" s="35">
        <f>IF(記録!I52="","",記録!I52)</f>
        <v>57</v>
      </c>
    </row>
    <row r="15" spans="2:10" x14ac:dyDescent="0.55000000000000004">
      <c r="B15" s="41" t="s">
        <v>35</v>
      </c>
      <c r="C15" s="36" t="str">
        <f>IF(記録!B71="","",記録!B71)</f>
        <v/>
      </c>
      <c r="D15" s="36" t="str">
        <f>IF(記録!C71="","",記録!C71)</f>
        <v/>
      </c>
      <c r="E15" s="36" t="str">
        <f>IF(記録!D71="","",記録!D71)</f>
        <v/>
      </c>
      <c r="F15" s="37" t="str">
        <f>IF(記録!E71="","",記録!E71)</f>
        <v/>
      </c>
      <c r="G15" s="38" t="str">
        <f>IF(記録!F53="","",記録!F53)</f>
        <v>女</v>
      </c>
      <c r="H15" s="36" t="str">
        <f>IF(記録!G53="","",記録!G53)</f>
        <v>女</v>
      </c>
      <c r="I15" s="36" t="str">
        <f>IF(記録!H53="","",記録!H53)</f>
        <v>女</v>
      </c>
      <c r="J15" s="39" t="str">
        <f>IF(記録!I53="","",記録!I53)</f>
        <v>女</v>
      </c>
    </row>
    <row r="16" spans="2:10" ht="245" customHeight="1" thickBot="1" x14ac:dyDescent="0.6">
      <c r="B16" s="2" t="s">
        <v>58</v>
      </c>
      <c r="C16" s="4" t="str">
        <f>IF(記録!B72="","",記録!B72)</f>
        <v/>
      </c>
      <c r="D16" s="4" t="str">
        <f>IF(記録!C72="","",記録!C72)</f>
        <v/>
      </c>
      <c r="E16" s="4" t="str">
        <f>IF(記録!D72="","",記録!D72)</f>
        <v/>
      </c>
      <c r="F16" s="5" t="str">
        <f>IF(記録!E72="","",記録!E72)</f>
        <v/>
      </c>
      <c r="G16" s="6" t="str">
        <f>IF(記録!F54="","",記録!F54)</f>
        <v>原 由美子</v>
      </c>
      <c r="H16" s="4" t="str">
        <f>IF(記録!G54="","",記録!G54)</f>
        <v>瀬山 博子</v>
      </c>
      <c r="I16" s="4" t="str">
        <f>IF(記録!H54="","",記録!H54)</f>
        <v>加藤 節子</v>
      </c>
      <c r="J16" s="7" t="str">
        <f>IF(記録!I54="","",記録!I54)</f>
        <v>谷口 弥生</v>
      </c>
    </row>
  </sheetData>
  <mergeCells count="4">
    <mergeCell ref="C1:F1"/>
    <mergeCell ref="G1:J1"/>
    <mergeCell ref="C2:F2"/>
    <mergeCell ref="G2:J2"/>
  </mergeCells>
  <phoneticPr fontId="1"/>
  <pageMargins left="0.23622047244094491" right="0.23622047244094491" top="1.0533333333333332" bottom="0.74803149606299213" header="0.31496062992125984" footer="0.31496062992125984"/>
  <pageSetup paperSize="9" scale="75" orientation="portrait" r:id="rId1"/>
  <headerFooter>
    <oddHeader>&amp;C&amp;"メイリオ,ボールド"&amp;28 2021 東尾張エリア弓道大会　チーム記録</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8686-568B-4E41-B4F4-9112C5850D37}">
  <sheetPr>
    <pageSetUpPr fitToPage="1"/>
  </sheetPr>
  <dimension ref="B2:AI72"/>
  <sheetViews>
    <sheetView view="pageBreakPreview" topLeftCell="H1" zoomScale="85" zoomScaleNormal="38" zoomScaleSheetLayoutView="85" zoomScalePageLayoutView="70" workbookViewId="0">
      <selection activeCell="AA2" activeCellId="2" sqref="F38:I54 AA20:AA36 AA2:AA18"/>
    </sheetView>
  </sheetViews>
  <sheetFormatPr defaultColWidth="3.58203125" defaultRowHeight="32.5" x14ac:dyDescent="0.55000000000000004"/>
  <cols>
    <col min="1" max="1" width="3.58203125" style="79"/>
    <col min="2" max="25" width="9.6640625" style="79" customWidth="1"/>
    <col min="26" max="26" width="19.5" style="234" bestFit="1" customWidth="1"/>
    <col min="27" max="27" width="8.4140625" style="79" customWidth="1"/>
    <col min="28" max="31" width="8.08203125" style="79" customWidth="1"/>
    <col min="32" max="35" width="5.1640625" style="79" customWidth="1"/>
    <col min="36" max="16384" width="3.58203125" style="79"/>
  </cols>
  <sheetData>
    <row r="2" spans="2:27" x14ac:dyDescent="0.55000000000000004">
      <c r="B2" s="181" t="str">
        <f>選手!B22</f>
        <v>日進B</v>
      </c>
      <c r="C2" s="179"/>
      <c r="D2" s="179"/>
      <c r="E2" s="183"/>
      <c r="F2" s="179" t="str">
        <f>選手!B18</f>
        <v>日進A</v>
      </c>
      <c r="G2" s="179"/>
      <c r="H2" s="179"/>
      <c r="I2" s="179"/>
      <c r="J2" s="182" t="str">
        <f>選手!B14</f>
        <v>豊明B</v>
      </c>
      <c r="K2" s="179"/>
      <c r="L2" s="179"/>
      <c r="M2" s="183"/>
      <c r="N2" s="179" t="str">
        <f>選手!B10</f>
        <v>豊明A</v>
      </c>
      <c r="O2" s="179"/>
      <c r="P2" s="179"/>
      <c r="Q2" s="179"/>
      <c r="R2" s="182" t="str">
        <f>選手!B6</f>
        <v>春日井B</v>
      </c>
      <c r="S2" s="179"/>
      <c r="T2" s="179"/>
      <c r="U2" s="183"/>
      <c r="V2" s="179" t="str">
        <f>選手!B2</f>
        <v>春日井A</v>
      </c>
      <c r="W2" s="179"/>
      <c r="X2" s="179"/>
      <c r="Y2" s="180"/>
      <c r="Z2" s="231" t="s">
        <v>2</v>
      </c>
      <c r="AA2" s="235" t="s">
        <v>127</v>
      </c>
    </row>
    <row r="3" spans="2:27" x14ac:dyDescent="0.55000000000000004">
      <c r="B3" s="175">
        <f t="shared" ref="B3" si="0">SUM(B5:E5)</f>
        <v>0</v>
      </c>
      <c r="C3" s="175"/>
      <c r="D3" s="175"/>
      <c r="E3" s="177"/>
      <c r="F3" s="174">
        <f t="shared" ref="F3" si="1">SUM(F5:I5)</f>
        <v>0</v>
      </c>
      <c r="G3" s="175"/>
      <c r="H3" s="175"/>
      <c r="I3" s="178"/>
      <c r="J3" s="176">
        <f t="shared" ref="J3" si="2">SUM(J5:M5)</f>
        <v>0</v>
      </c>
      <c r="K3" s="175"/>
      <c r="L3" s="175"/>
      <c r="M3" s="177"/>
      <c r="N3" s="174">
        <f t="shared" ref="N3" si="3">SUM(N5:Q5)</f>
        <v>0</v>
      </c>
      <c r="O3" s="175"/>
      <c r="P3" s="175"/>
      <c r="Q3" s="178"/>
      <c r="R3" s="176">
        <f t="shared" ref="R3" si="4">SUM(R5:U5)</f>
        <v>0</v>
      </c>
      <c r="S3" s="175"/>
      <c r="T3" s="175"/>
      <c r="U3" s="177"/>
      <c r="V3" s="174">
        <f t="shared" ref="V3" si="5">SUM(V5:Y5)</f>
        <v>0</v>
      </c>
      <c r="W3" s="175"/>
      <c r="X3" s="175"/>
      <c r="Y3" s="175"/>
      <c r="Z3" s="231" t="s">
        <v>3</v>
      </c>
      <c r="AA3" s="236"/>
    </row>
    <row r="4" spans="2:27" ht="32.5" hidden="1" customHeight="1" x14ac:dyDescent="0.55000000000000004">
      <c r="B4" s="80">
        <f>B5+0.1+(IF(B15="〇",1,0)*0.01)+(IF(B14="〇",1,0)*0.001)+(IF(B13="〇",1,0)*0.0001)+(IF(B12="〇",1,0)*0.00001)+(IF(B10="〇",1,0)*0.000001)+(IF(B9="〇",1,0)*0.0000001)+(IF(B8="〇",1,0)*0.00000001)+(IF(B7="〇",1,0)*0.000000001)</f>
        <v>0.1</v>
      </c>
      <c r="C4" s="80">
        <f>C5+0.1+(IF(C15="〇",1,0)*0.01)+(IF(C14="〇",1,0)*0.001)+(IF(C13="〇",1,0)*0.0001)+(IF(C12="〇",1,0)*0.00001)+(IF(C10="〇",1,0)*0.000001)+(IF(C9="〇",1,0)*0.0000001)+(IF(C8="〇",1,0)*0.00000001)+(IF(C7="〇",1,0)*0.000000001)</f>
        <v>0.1</v>
      </c>
      <c r="D4" s="80">
        <f>D5+0.1+(IF(D15="〇",1,0)*0.01)+(IF(D14="〇",1,0)*0.001)+(IF(D13="〇",1,0)*0.0001)+(IF(D12="〇",1,0)*0.00001)+(IF(D10="〇",1,0)*0.000001)+(IF(D9="〇",1,0)*0.0000001)+(IF(D8="〇",1,0)*0.00000001)+(IF(D7="〇",1,0)*0.000000001)</f>
        <v>0.1</v>
      </c>
      <c r="E4" s="83">
        <f>E5+0.1+(IF(E15="〇",1,0)*0.01)+(IF(E14="〇",1,0)*0.001)+(IF(E13="〇",1,0)*0.0001)+(IF(E12="〇",1,0)*0.00001)+(IF(E10="〇",1,0)*0.000001)+(IF(E9="〇",1,0)*0.0000001)+(IF(E8="〇",1,0)*0.00000001)+(IF(E7="〇",1,0)*0.000000001)</f>
        <v>0.1</v>
      </c>
      <c r="F4" s="84">
        <f t="shared" ref="F4:Y4" si="6">F5+0.1+(IF(F15="〇",1,0)*0.01)+(IF(F14="〇",1,0)*0.001)+(IF(F13="〇",1,0)*0.0001)+(IF(F12="〇",1,0)*0.00001)+(IF(F10="〇",1,0)*0.000001)+(IF(F9="〇",1,0)*0.0000001)+(IF(F8="〇",1,0)*0.00000001)+(IF(F7="〇",1,0)*0.000000001)</f>
        <v>0.1</v>
      </c>
      <c r="G4" s="80">
        <f t="shared" si="6"/>
        <v>0.1</v>
      </c>
      <c r="H4" s="80">
        <f t="shared" si="6"/>
        <v>0.1</v>
      </c>
      <c r="I4" s="81">
        <f t="shared" si="6"/>
        <v>0.1</v>
      </c>
      <c r="J4" s="82">
        <f t="shared" si="6"/>
        <v>0.1</v>
      </c>
      <c r="K4" s="80">
        <f t="shared" si="6"/>
        <v>0.1</v>
      </c>
      <c r="L4" s="80">
        <f t="shared" si="6"/>
        <v>0.1</v>
      </c>
      <c r="M4" s="83">
        <f t="shared" si="6"/>
        <v>0.1</v>
      </c>
      <c r="N4" s="84">
        <f t="shared" si="6"/>
        <v>0.1</v>
      </c>
      <c r="O4" s="80">
        <f t="shared" si="6"/>
        <v>0.1</v>
      </c>
      <c r="P4" s="80">
        <f t="shared" si="6"/>
        <v>0.1</v>
      </c>
      <c r="Q4" s="81">
        <f t="shared" si="6"/>
        <v>0.1</v>
      </c>
      <c r="R4" s="82">
        <f t="shared" si="6"/>
        <v>0.1</v>
      </c>
      <c r="S4" s="80">
        <f t="shared" si="6"/>
        <v>0.1</v>
      </c>
      <c r="T4" s="80">
        <f t="shared" si="6"/>
        <v>0.1</v>
      </c>
      <c r="U4" s="83">
        <f t="shared" si="6"/>
        <v>0.1</v>
      </c>
      <c r="V4" s="84">
        <f t="shared" si="6"/>
        <v>0.1</v>
      </c>
      <c r="W4" s="80">
        <f t="shared" si="6"/>
        <v>0.1</v>
      </c>
      <c r="X4" s="80">
        <f t="shared" si="6"/>
        <v>0.1</v>
      </c>
      <c r="Y4" s="80">
        <f t="shared" si="6"/>
        <v>0.1</v>
      </c>
      <c r="Z4" s="231" t="s">
        <v>32</v>
      </c>
      <c r="AA4" s="236"/>
    </row>
    <row r="5" spans="2:27" x14ac:dyDescent="0.55000000000000004">
      <c r="B5" s="85">
        <f>B6+B11</f>
        <v>0</v>
      </c>
      <c r="C5" s="85">
        <f>C6+C11</f>
        <v>0</v>
      </c>
      <c r="D5" s="85">
        <f>D6+D11</f>
        <v>0</v>
      </c>
      <c r="E5" s="88">
        <f>E6+E11</f>
        <v>0</v>
      </c>
      <c r="F5" s="89">
        <f t="shared" ref="F5:Y5" si="7">F6+F11</f>
        <v>0</v>
      </c>
      <c r="G5" s="85">
        <f t="shared" si="7"/>
        <v>0</v>
      </c>
      <c r="H5" s="85">
        <f t="shared" si="7"/>
        <v>0</v>
      </c>
      <c r="I5" s="86">
        <f t="shared" si="7"/>
        <v>0</v>
      </c>
      <c r="J5" s="87">
        <f t="shared" si="7"/>
        <v>0</v>
      </c>
      <c r="K5" s="85">
        <f t="shared" si="7"/>
        <v>0</v>
      </c>
      <c r="L5" s="85">
        <f t="shared" si="7"/>
        <v>0</v>
      </c>
      <c r="M5" s="88">
        <f t="shared" si="7"/>
        <v>0</v>
      </c>
      <c r="N5" s="89">
        <f t="shared" si="7"/>
        <v>0</v>
      </c>
      <c r="O5" s="85">
        <f t="shared" si="7"/>
        <v>0</v>
      </c>
      <c r="P5" s="85">
        <f t="shared" si="7"/>
        <v>0</v>
      </c>
      <c r="Q5" s="86">
        <f t="shared" si="7"/>
        <v>0</v>
      </c>
      <c r="R5" s="87">
        <f t="shared" si="7"/>
        <v>0</v>
      </c>
      <c r="S5" s="85">
        <f t="shared" si="7"/>
        <v>0</v>
      </c>
      <c r="T5" s="85">
        <f t="shared" si="7"/>
        <v>0</v>
      </c>
      <c r="U5" s="88">
        <f t="shared" si="7"/>
        <v>0</v>
      </c>
      <c r="V5" s="89">
        <f t="shared" si="7"/>
        <v>0</v>
      </c>
      <c r="W5" s="85">
        <f t="shared" si="7"/>
        <v>0</v>
      </c>
      <c r="X5" s="85">
        <f t="shared" si="7"/>
        <v>0</v>
      </c>
      <c r="Y5" s="85">
        <f t="shared" si="7"/>
        <v>0</v>
      </c>
      <c r="Z5" s="231" t="s">
        <v>4</v>
      </c>
      <c r="AA5" s="236"/>
    </row>
    <row r="6" spans="2:27" x14ac:dyDescent="0.55000000000000004">
      <c r="B6" s="90">
        <f t="shared" ref="B6:X6" si="8">COUNTIF(B7:B10,"〇")</f>
        <v>0</v>
      </c>
      <c r="C6" s="90">
        <f t="shared" si="8"/>
        <v>0</v>
      </c>
      <c r="D6" s="90">
        <f t="shared" si="8"/>
        <v>0</v>
      </c>
      <c r="E6" s="93">
        <f t="shared" si="8"/>
        <v>0</v>
      </c>
      <c r="F6" s="94">
        <f t="shared" si="8"/>
        <v>0</v>
      </c>
      <c r="G6" s="90">
        <f t="shared" si="8"/>
        <v>0</v>
      </c>
      <c r="H6" s="90">
        <f t="shared" si="8"/>
        <v>0</v>
      </c>
      <c r="I6" s="91">
        <f t="shared" si="8"/>
        <v>0</v>
      </c>
      <c r="J6" s="92">
        <f t="shared" si="8"/>
        <v>0</v>
      </c>
      <c r="K6" s="90">
        <f t="shared" si="8"/>
        <v>0</v>
      </c>
      <c r="L6" s="90">
        <f t="shared" si="8"/>
        <v>0</v>
      </c>
      <c r="M6" s="93">
        <f t="shared" si="8"/>
        <v>0</v>
      </c>
      <c r="N6" s="94">
        <f t="shared" si="8"/>
        <v>0</v>
      </c>
      <c r="O6" s="90">
        <f t="shared" si="8"/>
        <v>0</v>
      </c>
      <c r="P6" s="90">
        <f t="shared" si="8"/>
        <v>0</v>
      </c>
      <c r="Q6" s="91">
        <f t="shared" si="8"/>
        <v>0</v>
      </c>
      <c r="R6" s="92">
        <f t="shared" si="8"/>
        <v>0</v>
      </c>
      <c r="S6" s="90">
        <f t="shared" si="8"/>
        <v>0</v>
      </c>
      <c r="T6" s="90">
        <f t="shared" si="8"/>
        <v>0</v>
      </c>
      <c r="U6" s="93">
        <f t="shared" si="8"/>
        <v>0</v>
      </c>
      <c r="V6" s="94">
        <f t="shared" si="8"/>
        <v>0</v>
      </c>
      <c r="W6" s="90">
        <f t="shared" si="8"/>
        <v>0</v>
      </c>
      <c r="X6" s="90">
        <f t="shared" si="8"/>
        <v>0</v>
      </c>
      <c r="Y6" s="90">
        <f>COUNTIF(Y7:Y10,"〇")</f>
        <v>0</v>
      </c>
      <c r="Z6" s="231" t="s">
        <v>21</v>
      </c>
      <c r="AA6" s="236"/>
    </row>
    <row r="7" spans="2:27" x14ac:dyDescent="0.55000000000000004">
      <c r="B7" s="95"/>
      <c r="C7" s="95"/>
      <c r="D7" s="95"/>
      <c r="E7" s="98"/>
      <c r="F7" s="99"/>
      <c r="G7" s="95"/>
      <c r="H7" s="95"/>
      <c r="I7" s="96"/>
      <c r="J7" s="97"/>
      <c r="K7" s="95"/>
      <c r="L7" s="95"/>
      <c r="M7" s="98"/>
      <c r="N7" s="99"/>
      <c r="O7" s="95"/>
      <c r="P7" s="95"/>
      <c r="Q7" s="96"/>
      <c r="R7" s="97"/>
      <c r="S7" s="95"/>
      <c r="T7" s="95"/>
      <c r="U7" s="98"/>
      <c r="V7" s="99"/>
      <c r="W7" s="95"/>
      <c r="X7" s="95"/>
      <c r="Y7" s="95"/>
      <c r="Z7" s="231" t="s">
        <v>22</v>
      </c>
      <c r="AA7" s="236"/>
    </row>
    <row r="8" spans="2:27" x14ac:dyDescent="0.55000000000000004">
      <c r="B8" s="95"/>
      <c r="C8" s="95"/>
      <c r="D8" s="95"/>
      <c r="E8" s="98"/>
      <c r="F8" s="99"/>
      <c r="G8" s="95"/>
      <c r="H8" s="95"/>
      <c r="I8" s="96"/>
      <c r="J8" s="97"/>
      <c r="K8" s="95"/>
      <c r="L8" s="95"/>
      <c r="M8" s="98"/>
      <c r="N8" s="99"/>
      <c r="O8" s="95"/>
      <c r="P8" s="95"/>
      <c r="Q8" s="96"/>
      <c r="R8" s="97"/>
      <c r="S8" s="95"/>
      <c r="T8" s="95"/>
      <c r="U8" s="98"/>
      <c r="V8" s="99"/>
      <c r="W8" s="95"/>
      <c r="X8" s="95"/>
      <c r="Y8" s="95"/>
      <c r="Z8" s="231" t="s">
        <v>24</v>
      </c>
      <c r="AA8" s="236"/>
    </row>
    <row r="9" spans="2:27" x14ac:dyDescent="0.55000000000000004">
      <c r="B9" s="95"/>
      <c r="C9" s="95"/>
      <c r="D9" s="95"/>
      <c r="E9" s="98"/>
      <c r="F9" s="99"/>
      <c r="G9" s="95"/>
      <c r="H9" s="95"/>
      <c r="I9" s="96"/>
      <c r="J9" s="97"/>
      <c r="K9" s="95"/>
      <c r="L9" s="95"/>
      <c r="M9" s="98"/>
      <c r="N9" s="99"/>
      <c r="O9" s="95"/>
      <c r="P9" s="95"/>
      <c r="Q9" s="96"/>
      <c r="R9" s="97"/>
      <c r="S9" s="95"/>
      <c r="T9" s="95"/>
      <c r="U9" s="98"/>
      <c r="V9" s="99"/>
      <c r="W9" s="95"/>
      <c r="X9" s="95"/>
      <c r="Y9" s="95"/>
      <c r="Z9" s="231" t="s">
        <v>26</v>
      </c>
      <c r="AA9" s="236"/>
    </row>
    <row r="10" spans="2:27" x14ac:dyDescent="0.55000000000000004">
      <c r="B10" s="95"/>
      <c r="C10" s="95"/>
      <c r="D10" s="95"/>
      <c r="E10" s="98"/>
      <c r="F10" s="99"/>
      <c r="G10" s="95"/>
      <c r="H10" s="95"/>
      <c r="I10" s="96"/>
      <c r="J10" s="97"/>
      <c r="K10" s="95"/>
      <c r="L10" s="95"/>
      <c r="M10" s="98"/>
      <c r="N10" s="99"/>
      <c r="O10" s="95"/>
      <c r="P10" s="95"/>
      <c r="Q10" s="96"/>
      <c r="R10" s="97"/>
      <c r="S10" s="95"/>
      <c r="T10" s="95"/>
      <c r="U10" s="98"/>
      <c r="V10" s="99"/>
      <c r="W10" s="95"/>
      <c r="X10" s="95"/>
      <c r="Y10" s="95"/>
      <c r="Z10" s="231" t="s">
        <v>28</v>
      </c>
      <c r="AA10" s="236"/>
    </row>
    <row r="11" spans="2:27" x14ac:dyDescent="0.55000000000000004">
      <c r="B11" s="90">
        <f>COUNTIF(B12:B15,"〇")</f>
        <v>0</v>
      </c>
      <c r="C11" s="90">
        <f>COUNTIF(C12:C15,"〇")</f>
        <v>0</v>
      </c>
      <c r="D11" s="90">
        <f>COUNTIF(D12:D15,"〇")</f>
        <v>0</v>
      </c>
      <c r="E11" s="93">
        <f>COUNTIF(E12:E15,"〇")</f>
        <v>0</v>
      </c>
      <c r="F11" s="94">
        <f t="shared" ref="F11:Y11" si="9">COUNTIF(F12:F15,"〇")</f>
        <v>0</v>
      </c>
      <c r="G11" s="90">
        <f t="shared" si="9"/>
        <v>0</v>
      </c>
      <c r="H11" s="90">
        <f t="shared" si="9"/>
        <v>0</v>
      </c>
      <c r="I11" s="91">
        <f t="shared" si="9"/>
        <v>0</v>
      </c>
      <c r="J11" s="92">
        <f t="shared" si="9"/>
        <v>0</v>
      </c>
      <c r="K11" s="90">
        <f t="shared" si="9"/>
        <v>0</v>
      </c>
      <c r="L11" s="90">
        <f t="shared" si="9"/>
        <v>0</v>
      </c>
      <c r="M11" s="93">
        <f t="shared" si="9"/>
        <v>0</v>
      </c>
      <c r="N11" s="94">
        <f t="shared" si="9"/>
        <v>0</v>
      </c>
      <c r="O11" s="90">
        <f t="shared" si="9"/>
        <v>0</v>
      </c>
      <c r="P11" s="90">
        <f t="shared" si="9"/>
        <v>0</v>
      </c>
      <c r="Q11" s="91">
        <f t="shared" si="9"/>
        <v>0</v>
      </c>
      <c r="R11" s="92">
        <f t="shared" si="9"/>
        <v>0</v>
      </c>
      <c r="S11" s="90">
        <f t="shared" si="9"/>
        <v>0</v>
      </c>
      <c r="T11" s="90">
        <f t="shared" si="9"/>
        <v>0</v>
      </c>
      <c r="U11" s="93">
        <f t="shared" si="9"/>
        <v>0</v>
      </c>
      <c r="V11" s="94">
        <f t="shared" si="9"/>
        <v>0</v>
      </c>
      <c r="W11" s="90">
        <f t="shared" si="9"/>
        <v>0</v>
      </c>
      <c r="X11" s="90">
        <f t="shared" si="9"/>
        <v>0</v>
      </c>
      <c r="Y11" s="90">
        <f t="shared" si="9"/>
        <v>0</v>
      </c>
      <c r="Z11" s="231" t="s">
        <v>20</v>
      </c>
      <c r="AA11" s="236"/>
    </row>
    <row r="12" spans="2:27" x14ac:dyDescent="0.55000000000000004">
      <c r="B12" s="95"/>
      <c r="C12" s="95"/>
      <c r="D12" s="95"/>
      <c r="E12" s="98"/>
      <c r="F12" s="99"/>
      <c r="G12" s="95"/>
      <c r="H12" s="95"/>
      <c r="I12" s="96"/>
      <c r="J12" s="97"/>
      <c r="K12" s="95"/>
      <c r="L12" s="95"/>
      <c r="M12" s="98"/>
      <c r="N12" s="99"/>
      <c r="O12" s="95"/>
      <c r="P12" s="95"/>
      <c r="Q12" s="96"/>
      <c r="R12" s="97"/>
      <c r="S12" s="95"/>
      <c r="T12" s="95"/>
      <c r="U12" s="98"/>
      <c r="V12" s="99"/>
      <c r="W12" s="95"/>
      <c r="X12" s="95"/>
      <c r="Y12" s="95"/>
      <c r="Z12" s="231" t="s">
        <v>22</v>
      </c>
      <c r="AA12" s="236"/>
    </row>
    <row r="13" spans="2:27" x14ac:dyDescent="0.55000000000000004">
      <c r="B13" s="95"/>
      <c r="C13" s="95"/>
      <c r="D13" s="95"/>
      <c r="E13" s="98"/>
      <c r="F13" s="99"/>
      <c r="G13" s="95"/>
      <c r="H13" s="95"/>
      <c r="I13" s="96"/>
      <c r="J13" s="97"/>
      <c r="K13" s="95"/>
      <c r="L13" s="95"/>
      <c r="M13" s="98"/>
      <c r="N13" s="99"/>
      <c r="O13" s="95"/>
      <c r="P13" s="95"/>
      <c r="Q13" s="96"/>
      <c r="R13" s="97"/>
      <c r="S13" s="95"/>
      <c r="T13" s="95"/>
      <c r="U13" s="98"/>
      <c r="V13" s="99"/>
      <c r="W13" s="95"/>
      <c r="X13" s="95"/>
      <c r="Y13" s="95"/>
      <c r="Z13" s="231" t="s">
        <v>24</v>
      </c>
      <c r="AA13" s="236"/>
    </row>
    <row r="14" spans="2:27" x14ac:dyDescent="0.55000000000000004">
      <c r="B14" s="95"/>
      <c r="C14" s="95"/>
      <c r="D14" s="95"/>
      <c r="E14" s="98"/>
      <c r="F14" s="99"/>
      <c r="G14" s="95"/>
      <c r="H14" s="95"/>
      <c r="I14" s="96"/>
      <c r="J14" s="97"/>
      <c r="K14" s="95"/>
      <c r="L14" s="95"/>
      <c r="M14" s="98"/>
      <c r="N14" s="99"/>
      <c r="O14" s="95"/>
      <c r="P14" s="95"/>
      <c r="Q14" s="96"/>
      <c r="R14" s="97"/>
      <c r="S14" s="95"/>
      <c r="T14" s="95"/>
      <c r="U14" s="98"/>
      <c r="V14" s="99"/>
      <c r="W14" s="95"/>
      <c r="X14" s="95"/>
      <c r="Y14" s="95"/>
      <c r="Z14" s="231" t="s">
        <v>26</v>
      </c>
      <c r="AA14" s="236"/>
    </row>
    <row r="15" spans="2:27" ht="33" thickBot="1" x14ac:dyDescent="0.6">
      <c r="B15" s="100"/>
      <c r="C15" s="100"/>
      <c r="D15" s="100"/>
      <c r="E15" s="103"/>
      <c r="F15" s="104"/>
      <c r="G15" s="100"/>
      <c r="H15" s="100"/>
      <c r="I15" s="101"/>
      <c r="J15" s="102"/>
      <c r="K15" s="100"/>
      <c r="L15" s="100"/>
      <c r="M15" s="103"/>
      <c r="N15" s="104"/>
      <c r="O15" s="100"/>
      <c r="P15" s="100"/>
      <c r="Q15" s="101"/>
      <c r="R15" s="102"/>
      <c r="S15" s="100"/>
      <c r="T15" s="100"/>
      <c r="U15" s="103"/>
      <c r="V15" s="104"/>
      <c r="W15" s="100"/>
      <c r="X15" s="100"/>
      <c r="Y15" s="100"/>
      <c r="Z15" s="232" t="s">
        <v>28</v>
      </c>
      <c r="AA15" s="236"/>
    </row>
    <row r="16" spans="2:27" x14ac:dyDescent="0.55000000000000004">
      <c r="B16" s="105">
        <f>IF(選手!C25&lt;&gt;"",選手!C25,"")</f>
        <v>24</v>
      </c>
      <c r="C16" s="105">
        <f>IF(選手!C24&lt;&gt;"",選手!C24,"")</f>
        <v>23</v>
      </c>
      <c r="D16" s="105">
        <f>IF(選手!C23&lt;&gt;"",選手!C23,"")</f>
        <v>22</v>
      </c>
      <c r="E16" s="108">
        <f>IF(選手!C22&lt;&gt;"",選手!C22,"")</f>
        <v>21</v>
      </c>
      <c r="F16" s="109">
        <f>IF(選手!C21&lt;&gt;"",選手!C21,"")</f>
        <v>20</v>
      </c>
      <c r="G16" s="105">
        <f>IF(選手!C20&lt;&gt;"",選手!C20,"")</f>
        <v>19</v>
      </c>
      <c r="H16" s="105">
        <f>IF(選手!C19&lt;&gt;"",選手!C19,"")</f>
        <v>18</v>
      </c>
      <c r="I16" s="106">
        <f>IF(選手!C18&lt;&gt;"",選手!C18,"")</f>
        <v>17</v>
      </c>
      <c r="J16" s="107">
        <f>IF(選手!C17&lt;&gt;"",選手!C17,"")</f>
        <v>16</v>
      </c>
      <c r="K16" s="105">
        <f>IF(選手!C16&lt;&gt;"",選手!C16,"")</f>
        <v>15</v>
      </c>
      <c r="L16" s="105">
        <f>IF(選手!C15&lt;&gt;"",選手!C15,"")</f>
        <v>14</v>
      </c>
      <c r="M16" s="108">
        <f>IF(選手!C14&lt;&gt;"",選手!C14,"")</f>
        <v>13</v>
      </c>
      <c r="N16" s="109">
        <f>IF(選手!C13&lt;&gt;"",選手!C13,"")</f>
        <v>12</v>
      </c>
      <c r="O16" s="105">
        <f>IF(選手!C12&lt;&gt;"",選手!C12,"")</f>
        <v>11</v>
      </c>
      <c r="P16" s="105">
        <f>IF(選手!C11&lt;&gt;"",選手!C11,"")</f>
        <v>10</v>
      </c>
      <c r="Q16" s="106">
        <f>IF(選手!C10&lt;&gt;"",選手!C10,"")</f>
        <v>9</v>
      </c>
      <c r="R16" s="107">
        <f>IF(選手!C9&lt;&gt;"",選手!C9,"")</f>
        <v>8</v>
      </c>
      <c r="S16" s="105">
        <f>IF(選手!C8&lt;&gt;"",選手!C8,"")</f>
        <v>7</v>
      </c>
      <c r="T16" s="105">
        <f>IF(選手!C7&lt;&gt;"",選手!C7,"")</f>
        <v>6</v>
      </c>
      <c r="U16" s="108">
        <f>IF(選手!C6&lt;&gt;"",選手!C6,"")</f>
        <v>5</v>
      </c>
      <c r="V16" s="109">
        <f>IF(選手!C5&lt;&gt;"",選手!C5,"")</f>
        <v>4</v>
      </c>
      <c r="W16" s="105">
        <f>IF(選手!C4&lt;&gt;"",選手!C4,"")</f>
        <v>3</v>
      </c>
      <c r="X16" s="105">
        <f>IF(選手!C3&lt;&gt;"",選手!C3,"")</f>
        <v>2</v>
      </c>
      <c r="Y16" s="105">
        <f>IF(選手!C2&lt;&gt;"",選手!C2,"")</f>
        <v>1</v>
      </c>
      <c r="Z16" s="233" t="s">
        <v>18</v>
      </c>
      <c r="AA16" s="236"/>
    </row>
    <row r="17" spans="2:35" x14ac:dyDescent="0.55000000000000004">
      <c r="B17" s="110" t="str">
        <f>IF(選手!E25&lt;&gt;"",選手!E25,"")</f>
        <v>女</v>
      </c>
      <c r="C17" s="110" t="str">
        <f>IF(選手!E24&lt;&gt;"",選手!E24,"")</f>
        <v>女</v>
      </c>
      <c r="D17" s="110" t="str">
        <f>IF(選手!E23&lt;&gt;"",選手!E23,"")</f>
        <v>女</v>
      </c>
      <c r="E17" s="113" t="str">
        <f>IF(選手!E22&lt;&gt;"",選手!E22,"")</f>
        <v>女</v>
      </c>
      <c r="F17" s="114" t="str">
        <f>IF(選手!E21&lt;&gt;"",選手!E21,"")</f>
        <v>男</v>
      </c>
      <c r="G17" s="110" t="str">
        <f>IF(選手!E20&lt;&gt;"",選手!E20,"")</f>
        <v>男</v>
      </c>
      <c r="H17" s="110" t="str">
        <f>IF(選手!E19&lt;&gt;"",選手!E19,"")</f>
        <v>男</v>
      </c>
      <c r="I17" s="111" t="str">
        <f>IF(選手!E18&lt;&gt;"",選手!E18,"")</f>
        <v>男</v>
      </c>
      <c r="J17" s="112" t="str">
        <f>IF(選手!E17&lt;&gt;"",選手!E17,"")</f>
        <v>女</v>
      </c>
      <c r="K17" s="110" t="str">
        <f>IF(選手!E16&lt;&gt;"",選手!E16,"")</f>
        <v>女</v>
      </c>
      <c r="L17" s="110" t="str">
        <f>IF(選手!E15&lt;&gt;"",選手!E15,"")</f>
        <v>女</v>
      </c>
      <c r="M17" s="113" t="str">
        <f>IF(選手!E14&lt;&gt;"",選手!E14,"")</f>
        <v>女</v>
      </c>
      <c r="N17" s="114" t="str">
        <f>IF(選手!E13&lt;&gt;"",選手!E13,"")</f>
        <v>男</v>
      </c>
      <c r="O17" s="110" t="str">
        <f>IF(選手!E12&lt;&gt;"",選手!E12,"")</f>
        <v>男</v>
      </c>
      <c r="P17" s="110" t="str">
        <f>IF(選手!E11&lt;&gt;"",選手!E11,"")</f>
        <v>男</v>
      </c>
      <c r="Q17" s="111" t="str">
        <f>IF(選手!E10&lt;&gt;"",選手!E10,"")</f>
        <v>男</v>
      </c>
      <c r="R17" s="112" t="str">
        <f>IF(選手!E9&lt;&gt;"",選手!E9,"")</f>
        <v>女</v>
      </c>
      <c r="S17" s="110" t="str">
        <f>IF(選手!E8&lt;&gt;"",選手!E8,"")</f>
        <v>女</v>
      </c>
      <c r="T17" s="110" t="str">
        <f>IF(選手!E7&lt;&gt;"",選手!E7,"")</f>
        <v>女</v>
      </c>
      <c r="U17" s="113" t="str">
        <f>IF(選手!E6&lt;&gt;"",選手!E6,"")</f>
        <v>女</v>
      </c>
      <c r="V17" s="114" t="str">
        <f>IF(選手!E5&lt;&gt;"",選手!E5,"")</f>
        <v>男</v>
      </c>
      <c r="W17" s="110" t="str">
        <f>IF(選手!E4&lt;&gt;"",選手!E4,"")</f>
        <v>男</v>
      </c>
      <c r="X17" s="110" t="str">
        <f>IF(選手!E3&lt;&gt;"",選手!E3,"")</f>
        <v>男</v>
      </c>
      <c r="Y17" s="110" t="str">
        <f>IF(選手!E2&lt;&gt;"",選手!E2,"")</f>
        <v>男</v>
      </c>
      <c r="Z17" s="231" t="s">
        <v>1</v>
      </c>
      <c r="AA17" s="236"/>
    </row>
    <row r="18" spans="2:35" ht="155.5" customHeight="1" x14ac:dyDescent="0.55000000000000004">
      <c r="B18" s="116" t="str">
        <f>IF(選手!D25&lt;&gt;"",選手!D25,"")</f>
        <v>谷口 洋子</v>
      </c>
      <c r="C18" s="116" t="str">
        <f>IF(選手!D24&lt;&gt;"",選手!D24,"")</f>
        <v>入江 美讃</v>
      </c>
      <c r="D18" s="116" t="str">
        <f>IF(選手!D23&lt;&gt;"",選手!D23,"")</f>
        <v>越後 奈緒美</v>
      </c>
      <c r="E18" s="119" t="str">
        <f>IF(選手!D22&lt;&gt;"",選手!D22,"")</f>
        <v>後藤 徳子</v>
      </c>
      <c r="F18" s="120" t="str">
        <f>IF(選手!D21&lt;&gt;"",選手!D21,"")</f>
        <v>志手 俊二</v>
      </c>
      <c r="G18" s="116" t="str">
        <f>IF(選手!D20&lt;&gt;"",選手!D20,"")</f>
        <v>谷田 直樹</v>
      </c>
      <c r="H18" s="116" t="str">
        <f>IF(選手!D19&lt;&gt;"",選手!D19,"")</f>
        <v>笠井 大督</v>
      </c>
      <c r="I18" s="117" t="str">
        <f>IF(選手!D18&lt;&gt;"",選手!D18,"")</f>
        <v>新美 友治</v>
      </c>
      <c r="J18" s="118" t="str">
        <f>IF(選手!D17&lt;&gt;"",選手!D17,"")</f>
        <v>谷口 祥子</v>
      </c>
      <c r="K18" s="116" t="str">
        <f>IF(選手!D16&lt;&gt;"",選手!D16,"")</f>
        <v>樋田 良子</v>
      </c>
      <c r="L18" s="116" t="str">
        <f>IF(選手!D15&lt;&gt;"",選手!D15,"")</f>
        <v>深見 裕子</v>
      </c>
      <c r="M18" s="119" t="str">
        <f>IF(選手!D14&lt;&gt;"",選手!D14,"")</f>
        <v>堀井 恵美子</v>
      </c>
      <c r="N18" s="120" t="str">
        <f>IF(選手!D13&lt;&gt;"",選手!D13,"")</f>
        <v>榊原 隆一</v>
      </c>
      <c r="O18" s="116" t="str">
        <f>IF(選手!D12&lt;&gt;"",選手!D12,"")</f>
        <v>外山 康彦</v>
      </c>
      <c r="P18" s="116" t="str">
        <f>IF(選手!D11&lt;&gt;"",選手!D11,"")</f>
        <v>近藤 治</v>
      </c>
      <c r="Q18" s="117" t="str">
        <f>IF(選手!D10&lt;&gt;"",選手!D10,"")</f>
        <v>近藤 雄介</v>
      </c>
      <c r="R18" s="118" t="str">
        <f>IF(選手!D9&lt;&gt;"",選手!D9,"")</f>
        <v>伊藤 洋子</v>
      </c>
      <c r="S18" s="116" t="str">
        <f>IF(選手!D8&lt;&gt;"",選手!D8,"")</f>
        <v>片桐 志保</v>
      </c>
      <c r="T18" s="116" t="str">
        <f>IF(選手!D7&lt;&gt;"",選手!D7,"")</f>
        <v>渡會 あすか</v>
      </c>
      <c r="U18" s="119" t="str">
        <f>IF(選手!D6&lt;&gt;"",選手!D6,"")</f>
        <v>佃 弘美</v>
      </c>
      <c r="V18" s="120" t="str">
        <f>IF(選手!D5&lt;&gt;"",選手!D5,"")</f>
        <v>田井 泰</v>
      </c>
      <c r="W18" s="116" t="str">
        <f>IF(選手!D4&lt;&gt;"",選手!D4,"")</f>
        <v>大嶋 啓嗣</v>
      </c>
      <c r="X18" s="116" t="str">
        <f>IF(選手!D3&lt;&gt;"",選手!D3,"")</f>
        <v>伊藤 恭浩</v>
      </c>
      <c r="Y18" s="116" t="str">
        <f>IF(選手!D2&lt;&gt;"",選手!D2,"")</f>
        <v>峯 徹</v>
      </c>
      <c r="Z18" s="115" t="s">
        <v>58</v>
      </c>
      <c r="AA18" s="237"/>
    </row>
    <row r="19" spans="2:35" x14ac:dyDescent="0.55000000000000004">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AB19" s="121"/>
      <c r="AC19" s="121"/>
      <c r="AD19" s="121"/>
      <c r="AE19" s="121"/>
      <c r="AF19" s="121"/>
      <c r="AG19" s="121"/>
      <c r="AH19" s="121"/>
      <c r="AI19" s="121"/>
    </row>
    <row r="20" spans="2:35" x14ac:dyDescent="0.55000000000000004">
      <c r="J20" s="181" t="str">
        <f>選手!B38</f>
        <v>尾張旭B</v>
      </c>
      <c r="K20" s="179"/>
      <c r="L20" s="179"/>
      <c r="M20" s="179"/>
      <c r="N20" s="182" t="str">
        <f>選手!B34</f>
        <v>尾張旭A</v>
      </c>
      <c r="O20" s="179"/>
      <c r="P20" s="179"/>
      <c r="Q20" s="180"/>
      <c r="R20" s="179" t="str">
        <f>選手!B30</f>
        <v>長久手B</v>
      </c>
      <c r="S20" s="179"/>
      <c r="T20" s="179"/>
      <c r="U20" s="179"/>
      <c r="V20" s="182" t="str">
        <f>選手!B26</f>
        <v>長久手A</v>
      </c>
      <c r="W20" s="179"/>
      <c r="X20" s="179"/>
      <c r="Y20" s="180"/>
      <c r="Z20" s="231" t="s">
        <v>2</v>
      </c>
      <c r="AA20" s="235" t="s">
        <v>129</v>
      </c>
      <c r="AB20" s="121"/>
      <c r="AC20" s="121"/>
      <c r="AD20" s="121"/>
      <c r="AE20" s="121"/>
      <c r="AF20" s="121"/>
      <c r="AG20" s="121"/>
      <c r="AH20" s="121"/>
      <c r="AI20" s="121"/>
    </row>
    <row r="21" spans="2:35" x14ac:dyDescent="0.55000000000000004">
      <c r="J21" s="175">
        <f t="shared" ref="J21" si="10">SUM(J23:M23)</f>
        <v>0</v>
      </c>
      <c r="K21" s="175"/>
      <c r="L21" s="175"/>
      <c r="M21" s="178"/>
      <c r="N21" s="176">
        <f t="shared" ref="N21" si="11">SUM(N23:Q23)</f>
        <v>0</v>
      </c>
      <c r="O21" s="175"/>
      <c r="P21" s="175"/>
      <c r="Q21" s="175"/>
      <c r="R21" s="174">
        <f>SUM(R23:U23)</f>
        <v>0</v>
      </c>
      <c r="S21" s="175"/>
      <c r="T21" s="175"/>
      <c r="U21" s="178"/>
      <c r="V21" s="176">
        <f>SUM(V23:Y23)</f>
        <v>0</v>
      </c>
      <c r="W21" s="175"/>
      <c r="X21" s="175"/>
      <c r="Y21" s="175"/>
      <c r="Z21" s="231" t="s">
        <v>3</v>
      </c>
      <c r="AA21" s="236"/>
      <c r="AB21" s="121"/>
      <c r="AC21" s="121"/>
      <c r="AD21" s="121"/>
      <c r="AE21" s="121"/>
      <c r="AF21" s="121"/>
      <c r="AG21" s="121"/>
      <c r="AH21" s="121"/>
      <c r="AI21" s="121"/>
    </row>
    <row r="22" spans="2:35" hidden="1" x14ac:dyDescent="0.55000000000000004">
      <c r="J22" s="80">
        <f>J23+0.1+(IF(J33="〇",1,0)*0.01)+(IF(J32="〇",1,0)*0.001)+(IF(J31="〇",1,0)*0.0001)+(IF(J30="〇",1,0)*0.00001)+(IF(J28="〇",1,0)*0.000001)+(IF(J27="〇",1,0)*0.0000001)+(IF(J26="〇",1,0)*0.00000001)+(IF(J25="〇",1,0)*0.000000001)</f>
        <v>0.1</v>
      </c>
      <c r="K22" s="80">
        <f>K23+0.1+(IF(K33="〇",1,0)*0.01)+(IF(K32="〇",1,0)*0.001)+(IF(K31="〇",1,0)*0.0001)+(IF(K30="〇",1,0)*0.00001)+(IF(K28="〇",1,0)*0.000001)+(IF(K27="〇",1,0)*0.0000001)+(IF(K26="〇",1,0)*0.00000001)+(IF(K25="〇",1,0)*0.000000001)</f>
        <v>0.1</v>
      </c>
      <c r="L22" s="80">
        <f>L23+0.1+(IF(L33="〇",1,0)*0.01)+(IF(L32="〇",1,0)*0.001)+(IF(L31="〇",1,0)*0.0001)+(IF(L30="〇",1,0)*0.00001)+(IF(L28="〇",1,0)*0.000001)+(IF(L27="〇",1,0)*0.0000001)+(IF(L26="〇",1,0)*0.00000001)+(IF(L25="〇",1,0)*0.000000001)</f>
        <v>0.1</v>
      </c>
      <c r="M22" s="81">
        <f>M23+0.1+(IF(M33="〇",1,0)*0.01)+(IF(M32="〇",1,0)*0.001)+(IF(M31="〇",1,0)*0.0001)+(IF(M30="〇",1,0)*0.00001)+(IF(M28="〇",1,0)*0.000001)+(IF(M27="〇",1,0)*0.0000001)+(IF(M26="〇",1,0)*0.00000001)+(IF(M25="〇",1,0)*0.000000001)</f>
        <v>0.1</v>
      </c>
      <c r="N22" s="82">
        <f>N23+0.1+(IF(N33="〇",1,0)*0.01)+(IF(N32="〇",1,0)*0.001)+(IF(N31="〇",1,0)*0.0001)+(IF(N30="〇",1,0)*0.00001)+(IF(N28="〇",1,0)*0.000001)+(IF(N27="〇",1,0)*0.0000001)+(IF(N26="〇",1,0)*0.00000001)+(IF(N25="〇",1,0)*0.000000001)</f>
        <v>0.1</v>
      </c>
      <c r="O22" s="80">
        <f>O23+0.1+(IF(O33="〇",1,0)*0.01)+(IF(O32="〇",1,0)*0.001)+(IF(O31="〇",1,0)*0.0001)+(IF(O30="〇",1,0)*0.00001)+(IF(O28="〇",1,0)*0.000001)+(IF(O27="〇",1,0)*0.0000001)+(IF(O26="〇",1,0)*0.00000001)+(IF(O25="〇",1,0)*0.000000001)</f>
        <v>0.1</v>
      </c>
      <c r="P22" s="80">
        <f>P23+0.1+(IF(P33="〇",1,0)*0.01)+(IF(P32="〇",1,0)*0.001)+(IF(P31="〇",1,0)*0.0001)+(IF(P30="〇",1,0)*0.00001)+(IF(P28="〇",1,0)*0.000001)+(IF(P27="〇",1,0)*0.0000001)+(IF(P26="〇",1,0)*0.00000001)+(IF(P25="〇",1,0)*0.000000001)</f>
        <v>0.1</v>
      </c>
      <c r="Q22" s="80">
        <f>Q23+0.1+(IF(Q33="〇",1,0)*0.01)+(IF(Q32="〇",1,0)*0.001)+(IF(Q31="〇",1,0)*0.0001)+(IF(Q30="〇",1,0)*0.00001)+(IF(Q28="〇",1,0)*0.000001)+(IF(Q27="〇",1,0)*0.0000001)+(IF(Q26="〇",1,0)*0.00000001)+(IF(Q25="〇",1,0)*0.000000001)</f>
        <v>0.1</v>
      </c>
      <c r="R22" s="84">
        <f>R23+0.1+(IF(R33="〇",1,0)*0.01)+(IF(R32="〇",1,0)*0.001)+(IF(R31="〇",1,0)*0.0001)+(IF(R30="〇",1,0)*0.00001)+(IF(R28="〇",1,0)*0.000001)+(IF(R27="〇",1,0)*0.0000001)+(IF(R26="〇",1,0)*0.00000001)+(IF(R25="〇",1,0)*0.000000001)</f>
        <v>0.1</v>
      </c>
      <c r="S22" s="80">
        <f>S23+0.1+(IF(S33="〇",1,0)*0.01)+(IF(S32="〇",1,0)*0.001)+(IF(S31="〇",1,0)*0.0001)+(IF(S30="〇",1,0)*0.00001)+(IF(S28="〇",1,0)*0.000001)+(IF(S27="〇",1,0)*0.0000001)+(IF(S26="〇",1,0)*0.00000001)+(IF(S25="〇",1,0)*0.000000001)</f>
        <v>0.1</v>
      </c>
      <c r="T22" s="80">
        <f>T23+0.1+(IF(T33="〇",1,0)*0.01)+(IF(T32="〇",1,0)*0.001)+(IF(T31="〇",1,0)*0.0001)+(IF(T30="〇",1,0)*0.00001)+(IF(T28="〇",1,0)*0.000001)+(IF(T27="〇",1,0)*0.0000001)+(IF(T26="〇",1,0)*0.00000001)+(IF(T25="〇",1,0)*0.000000001)</f>
        <v>0.1</v>
      </c>
      <c r="U22" s="81">
        <f>U23+0.1+(IF(U33="〇",1,0)*0.01)+(IF(U32="〇",1,0)*0.001)+(IF(U31="〇",1,0)*0.0001)+(IF(U30="〇",1,0)*0.00001)+(IF(U28="〇",1,0)*0.000001)+(IF(U27="〇",1,0)*0.0000001)+(IF(U26="〇",1,0)*0.00000001)+(IF(U25="〇",1,0)*0.000000001)</f>
        <v>0.1</v>
      </c>
      <c r="V22" s="82">
        <f>V23+0.1+(IF(V33="〇",1,0)*0.01)+(IF(V32="〇",1,0)*0.001)+(IF(V31="〇",1,0)*0.0001)+(IF(V30="〇",1,0)*0.00001)+(IF(V28="〇",1,0)*0.000001)+(IF(V27="〇",1,0)*0.0000001)+(IF(V26="〇",1,0)*0.00000001)+(IF(V25="〇",1,0)*0.000000001)</f>
        <v>0.1</v>
      </c>
      <c r="W22" s="80">
        <f>W23+0.1+(IF(W33="〇",1,0)*0.01)+(IF(W32="〇",1,0)*0.001)+(IF(W31="〇",1,0)*0.0001)+(IF(W30="〇",1,0)*0.00001)+(IF(W28="〇",1,0)*0.000001)+(IF(W27="〇",1,0)*0.0000001)+(IF(W26="〇",1,0)*0.00000001)+(IF(W25="〇",1,0)*0.000000001)</f>
        <v>0.1</v>
      </c>
      <c r="X22" s="80">
        <f>X23+0.1+(IF(X33="〇",1,0)*0.01)+(IF(X32="〇",1,0)*0.001)+(IF(X31="〇",1,0)*0.0001)+(IF(X30="〇",1,0)*0.00001)+(IF(X28="〇",1,0)*0.000001)+(IF(X27="〇",1,0)*0.0000001)+(IF(X26="〇",1,0)*0.00000001)+(IF(X25="〇",1,0)*0.000000001)</f>
        <v>0.1</v>
      </c>
      <c r="Y22" s="80">
        <f>Y23+0.1+(IF(Y33="〇",1,0)*0.01)+(IF(Y32="〇",1,0)*0.001)+(IF(Y31="〇",1,0)*0.0001)+(IF(Y30="〇",1,0)*0.00001)+(IF(Y28="〇",1,0)*0.000001)+(IF(Y27="〇",1,0)*0.0000001)+(IF(Y26="〇",1,0)*0.00000001)+(IF(Y25="〇",1,0)*0.000000001)</f>
        <v>0.1</v>
      </c>
      <c r="Z22" s="231" t="s">
        <v>32</v>
      </c>
      <c r="AA22" s="236"/>
      <c r="AB22" s="121"/>
      <c r="AC22" s="121"/>
      <c r="AD22" s="121"/>
      <c r="AE22" s="121"/>
      <c r="AF22" s="121"/>
      <c r="AG22" s="121"/>
      <c r="AH22" s="121"/>
      <c r="AI22" s="121"/>
    </row>
    <row r="23" spans="2:35" x14ac:dyDescent="0.55000000000000004">
      <c r="J23" s="85">
        <f>J24+J29</f>
        <v>0</v>
      </c>
      <c r="K23" s="85">
        <f>K24+K29</f>
        <v>0</v>
      </c>
      <c r="L23" s="85">
        <f>L24+L29</f>
        <v>0</v>
      </c>
      <c r="M23" s="86">
        <f>M24+M29</f>
        <v>0</v>
      </c>
      <c r="N23" s="87">
        <f>N24+N29</f>
        <v>0</v>
      </c>
      <c r="O23" s="85">
        <f>O24+O29</f>
        <v>0</v>
      </c>
      <c r="P23" s="85">
        <f>P24+P29</f>
        <v>0</v>
      </c>
      <c r="Q23" s="85">
        <f>Q24+Q29</f>
        <v>0</v>
      </c>
      <c r="R23" s="89">
        <f>R24+R29</f>
        <v>0</v>
      </c>
      <c r="S23" s="85">
        <f>S24+S29</f>
        <v>0</v>
      </c>
      <c r="T23" s="85">
        <f>T24+T29</f>
        <v>0</v>
      </c>
      <c r="U23" s="86">
        <f>U24+U29</f>
        <v>0</v>
      </c>
      <c r="V23" s="87">
        <f>V24+V29</f>
        <v>0</v>
      </c>
      <c r="W23" s="85">
        <f>W24+W29</f>
        <v>0</v>
      </c>
      <c r="X23" s="85">
        <f>X24+X29</f>
        <v>0</v>
      </c>
      <c r="Y23" s="85">
        <f>Y24+Y29</f>
        <v>0</v>
      </c>
      <c r="Z23" s="231" t="s">
        <v>4</v>
      </c>
      <c r="AA23" s="236"/>
      <c r="AB23" s="121"/>
      <c r="AC23" s="121"/>
      <c r="AD23" s="121"/>
      <c r="AE23" s="121"/>
      <c r="AF23" s="121"/>
      <c r="AG23" s="121"/>
      <c r="AH23" s="121"/>
      <c r="AI23" s="121"/>
    </row>
    <row r="24" spans="2:35" x14ac:dyDescent="0.55000000000000004">
      <c r="J24" s="90"/>
      <c r="K24" s="90">
        <f t="shared" ref="K24:P24" si="12">COUNTIF(K25:K28,"〇")</f>
        <v>0</v>
      </c>
      <c r="L24" s="90">
        <f t="shared" si="12"/>
        <v>0</v>
      </c>
      <c r="M24" s="91">
        <f t="shared" si="12"/>
        <v>0</v>
      </c>
      <c r="N24" s="92">
        <f t="shared" si="12"/>
        <v>0</v>
      </c>
      <c r="O24" s="90">
        <f t="shared" si="12"/>
        <v>0</v>
      </c>
      <c r="P24" s="90">
        <f t="shared" si="12"/>
        <v>0</v>
      </c>
      <c r="Q24" s="90">
        <f>COUNTIF(Q25:Q28,"〇")</f>
        <v>0</v>
      </c>
      <c r="R24" s="94">
        <f>COUNTIF(R25:R28,"〇")</f>
        <v>0</v>
      </c>
      <c r="S24" s="90">
        <f t="shared" ref="S24:Y24" si="13">COUNTIF(S25:S28,"〇")</f>
        <v>0</v>
      </c>
      <c r="T24" s="90">
        <f t="shared" si="13"/>
        <v>0</v>
      </c>
      <c r="U24" s="91">
        <f t="shared" si="13"/>
        <v>0</v>
      </c>
      <c r="V24" s="92">
        <f t="shared" si="13"/>
        <v>0</v>
      </c>
      <c r="W24" s="90">
        <f t="shared" si="13"/>
        <v>0</v>
      </c>
      <c r="X24" s="90">
        <f t="shared" si="13"/>
        <v>0</v>
      </c>
      <c r="Y24" s="90">
        <f t="shared" si="13"/>
        <v>0</v>
      </c>
      <c r="Z24" s="231" t="s">
        <v>21</v>
      </c>
      <c r="AA24" s="236"/>
      <c r="AB24" s="121"/>
      <c r="AC24" s="121"/>
      <c r="AD24" s="121"/>
      <c r="AE24" s="121"/>
      <c r="AF24" s="121"/>
      <c r="AG24" s="121"/>
      <c r="AH24" s="121"/>
      <c r="AI24" s="121"/>
    </row>
    <row r="25" spans="2:35" x14ac:dyDescent="0.55000000000000004">
      <c r="J25" s="95"/>
      <c r="K25" s="95"/>
      <c r="L25" s="95"/>
      <c r="M25" s="96"/>
      <c r="N25" s="97"/>
      <c r="O25" s="95"/>
      <c r="P25" s="95"/>
      <c r="Q25" s="95"/>
      <c r="R25" s="99"/>
      <c r="S25" s="95"/>
      <c r="T25" s="95"/>
      <c r="U25" s="96"/>
      <c r="V25" s="97"/>
      <c r="W25" s="95"/>
      <c r="X25" s="95"/>
      <c r="Y25" s="95"/>
      <c r="Z25" s="231" t="s">
        <v>22</v>
      </c>
      <c r="AA25" s="236"/>
      <c r="AB25" s="121"/>
      <c r="AC25" s="121"/>
      <c r="AD25" s="121"/>
      <c r="AE25" s="121"/>
      <c r="AF25" s="121"/>
      <c r="AG25" s="121"/>
      <c r="AH25" s="121"/>
      <c r="AI25" s="121"/>
    </row>
    <row r="26" spans="2:35" x14ac:dyDescent="0.55000000000000004">
      <c r="J26" s="95"/>
      <c r="K26" s="95"/>
      <c r="L26" s="95"/>
      <c r="M26" s="96"/>
      <c r="N26" s="97"/>
      <c r="O26" s="95"/>
      <c r="P26" s="95"/>
      <c r="Q26" s="95"/>
      <c r="R26" s="99"/>
      <c r="S26" s="95"/>
      <c r="T26" s="95"/>
      <c r="U26" s="96"/>
      <c r="V26" s="97"/>
      <c r="W26" s="95"/>
      <c r="X26" s="95"/>
      <c r="Y26" s="95"/>
      <c r="Z26" s="231" t="s">
        <v>24</v>
      </c>
      <c r="AA26" s="236"/>
      <c r="AB26" s="121"/>
      <c r="AC26" s="121"/>
      <c r="AD26" s="121"/>
      <c r="AE26" s="121"/>
      <c r="AF26" s="121"/>
      <c r="AG26" s="121"/>
      <c r="AH26" s="121"/>
      <c r="AI26" s="121"/>
    </row>
    <row r="27" spans="2:35" x14ac:dyDescent="0.55000000000000004">
      <c r="J27" s="95"/>
      <c r="K27" s="95"/>
      <c r="L27" s="95"/>
      <c r="M27" s="96"/>
      <c r="N27" s="97"/>
      <c r="O27" s="95"/>
      <c r="P27" s="95"/>
      <c r="Q27" s="95"/>
      <c r="R27" s="99"/>
      <c r="S27" s="95"/>
      <c r="T27" s="95"/>
      <c r="U27" s="96"/>
      <c r="V27" s="97"/>
      <c r="W27" s="95"/>
      <c r="X27" s="95"/>
      <c r="Y27" s="95"/>
      <c r="Z27" s="231" t="s">
        <v>26</v>
      </c>
      <c r="AA27" s="236"/>
      <c r="AB27" s="121"/>
      <c r="AC27" s="121"/>
      <c r="AD27" s="121"/>
      <c r="AE27" s="121"/>
      <c r="AF27" s="121"/>
      <c r="AG27" s="121"/>
      <c r="AH27" s="121"/>
      <c r="AI27" s="121"/>
    </row>
    <row r="28" spans="2:35" x14ac:dyDescent="0.55000000000000004">
      <c r="J28" s="95"/>
      <c r="K28" s="95"/>
      <c r="L28" s="95"/>
      <c r="M28" s="96"/>
      <c r="N28" s="97"/>
      <c r="O28" s="95"/>
      <c r="P28" s="95"/>
      <c r="Q28" s="95"/>
      <c r="R28" s="99"/>
      <c r="S28" s="95"/>
      <c r="T28" s="95"/>
      <c r="U28" s="96"/>
      <c r="V28" s="97"/>
      <c r="W28" s="95"/>
      <c r="X28" s="95"/>
      <c r="Y28" s="95"/>
      <c r="Z28" s="231" t="s">
        <v>28</v>
      </c>
      <c r="AA28" s="236"/>
      <c r="AB28" s="121"/>
      <c r="AC28" s="121"/>
      <c r="AD28" s="121"/>
      <c r="AE28" s="121"/>
      <c r="AF28" s="121"/>
      <c r="AG28" s="121"/>
      <c r="AH28" s="121"/>
      <c r="AI28" s="121"/>
    </row>
    <row r="29" spans="2:35" x14ac:dyDescent="0.55000000000000004">
      <c r="J29" s="90">
        <f>COUNTIF(J30:J33,"〇")</f>
        <v>0</v>
      </c>
      <c r="K29" s="90">
        <f>COUNTIF(K30:K33,"〇")</f>
        <v>0</v>
      </c>
      <c r="L29" s="90">
        <f>COUNTIF(L30:L33,"〇")</f>
        <v>0</v>
      </c>
      <c r="M29" s="91">
        <f>COUNTIF(M30:M33,"〇")</f>
        <v>0</v>
      </c>
      <c r="N29" s="92">
        <f>COUNTIF(N30:N33,"〇")</f>
        <v>0</v>
      </c>
      <c r="O29" s="90">
        <f>COUNTIF(O30:O33,"〇")</f>
        <v>0</v>
      </c>
      <c r="P29" s="90">
        <f>COUNTIF(P30:P33,"〇")</f>
        <v>0</v>
      </c>
      <c r="Q29" s="90">
        <f>COUNTIF(Q30:Q33,"〇")</f>
        <v>0</v>
      </c>
      <c r="R29" s="94">
        <f>COUNTIF(R30:R33,"〇")</f>
        <v>0</v>
      </c>
      <c r="S29" s="90">
        <f>COUNTIF(S30:S33,"〇")</f>
        <v>0</v>
      </c>
      <c r="T29" s="90">
        <f>COUNTIF(T30:T33,"〇")</f>
        <v>0</v>
      </c>
      <c r="U29" s="91">
        <f>COUNTIF(U30:U33,"〇")</f>
        <v>0</v>
      </c>
      <c r="V29" s="92">
        <f>COUNTIF(V30:V33,"〇")</f>
        <v>0</v>
      </c>
      <c r="W29" s="90">
        <f>COUNTIF(W30:W33,"〇")</f>
        <v>0</v>
      </c>
      <c r="X29" s="90">
        <f>COUNTIF(X30:X33,"〇")</f>
        <v>0</v>
      </c>
      <c r="Y29" s="90">
        <f>COUNTIF(Y30:Y33,"〇")</f>
        <v>0</v>
      </c>
      <c r="Z29" s="231" t="s">
        <v>20</v>
      </c>
      <c r="AA29" s="236"/>
      <c r="AB29" s="121"/>
      <c r="AC29" s="121"/>
      <c r="AD29" s="121"/>
      <c r="AE29" s="121"/>
      <c r="AF29" s="121"/>
      <c r="AG29" s="121"/>
      <c r="AH29" s="121"/>
      <c r="AI29" s="121"/>
    </row>
    <row r="30" spans="2:35" x14ac:dyDescent="0.55000000000000004">
      <c r="J30" s="95"/>
      <c r="K30" s="95"/>
      <c r="L30" s="95"/>
      <c r="M30" s="96"/>
      <c r="N30" s="97"/>
      <c r="O30" s="95"/>
      <c r="P30" s="95"/>
      <c r="Q30" s="95"/>
      <c r="R30" s="99"/>
      <c r="S30" s="95"/>
      <c r="T30" s="95"/>
      <c r="U30" s="96"/>
      <c r="V30" s="97"/>
      <c r="W30" s="95"/>
      <c r="X30" s="95"/>
      <c r="Y30" s="95"/>
      <c r="Z30" s="231" t="s">
        <v>22</v>
      </c>
      <c r="AA30" s="236"/>
      <c r="AB30" s="121"/>
      <c r="AC30" s="121"/>
      <c r="AD30" s="121"/>
      <c r="AE30" s="121"/>
      <c r="AF30" s="121"/>
      <c r="AG30" s="121"/>
      <c r="AH30" s="121"/>
      <c r="AI30" s="121"/>
    </row>
    <row r="31" spans="2:35" x14ac:dyDescent="0.55000000000000004">
      <c r="J31" s="95"/>
      <c r="K31" s="95"/>
      <c r="L31" s="95"/>
      <c r="M31" s="96"/>
      <c r="N31" s="97"/>
      <c r="O31" s="95"/>
      <c r="P31" s="95"/>
      <c r="Q31" s="95"/>
      <c r="R31" s="99"/>
      <c r="S31" s="95"/>
      <c r="T31" s="95"/>
      <c r="U31" s="96"/>
      <c r="V31" s="97"/>
      <c r="W31" s="95"/>
      <c r="X31" s="95"/>
      <c r="Y31" s="95"/>
      <c r="Z31" s="231" t="s">
        <v>24</v>
      </c>
      <c r="AA31" s="236"/>
      <c r="AB31" s="121"/>
      <c r="AC31" s="121"/>
      <c r="AD31" s="121"/>
      <c r="AE31" s="121"/>
      <c r="AF31" s="121"/>
      <c r="AG31" s="121"/>
      <c r="AH31" s="121"/>
      <c r="AI31" s="121"/>
    </row>
    <row r="32" spans="2:35" x14ac:dyDescent="0.55000000000000004">
      <c r="J32" s="95"/>
      <c r="K32" s="95"/>
      <c r="L32" s="95"/>
      <c r="M32" s="96"/>
      <c r="N32" s="97"/>
      <c r="O32" s="95"/>
      <c r="P32" s="95"/>
      <c r="Q32" s="95"/>
      <c r="R32" s="99"/>
      <c r="S32" s="95"/>
      <c r="T32" s="95"/>
      <c r="U32" s="96"/>
      <c r="V32" s="97"/>
      <c r="W32" s="95"/>
      <c r="X32" s="95"/>
      <c r="Y32" s="95"/>
      <c r="Z32" s="231" t="s">
        <v>26</v>
      </c>
      <c r="AA32" s="236"/>
      <c r="AB32" s="121"/>
      <c r="AC32" s="121"/>
      <c r="AD32" s="121"/>
      <c r="AE32" s="121"/>
      <c r="AF32" s="121"/>
      <c r="AG32" s="121"/>
      <c r="AH32" s="121"/>
      <c r="AI32" s="121"/>
    </row>
    <row r="33" spans="6:35" ht="33" thickBot="1" x14ac:dyDescent="0.6">
      <c r="J33" s="100"/>
      <c r="K33" s="100"/>
      <c r="L33" s="100"/>
      <c r="M33" s="101"/>
      <c r="N33" s="102"/>
      <c r="O33" s="100"/>
      <c r="P33" s="100"/>
      <c r="Q33" s="100"/>
      <c r="R33" s="104"/>
      <c r="S33" s="100"/>
      <c r="T33" s="100"/>
      <c r="U33" s="101"/>
      <c r="V33" s="102"/>
      <c r="W33" s="100"/>
      <c r="X33" s="100"/>
      <c r="Y33" s="100"/>
      <c r="Z33" s="232" t="s">
        <v>28</v>
      </c>
      <c r="AA33" s="236"/>
      <c r="AB33" s="121"/>
      <c r="AC33" s="121"/>
      <c r="AD33" s="121"/>
      <c r="AE33" s="121"/>
      <c r="AF33" s="121"/>
      <c r="AG33" s="121"/>
      <c r="AH33" s="121"/>
      <c r="AI33" s="121"/>
    </row>
    <row r="34" spans="6:35" x14ac:dyDescent="0.55000000000000004">
      <c r="J34" s="105">
        <f>IF(選手!C41&lt;&gt;"",選手!C41,"")</f>
        <v>40</v>
      </c>
      <c r="K34" s="105">
        <f>IF(選手!C40&lt;&gt;"",選手!C40,"")</f>
        <v>39</v>
      </c>
      <c r="L34" s="105">
        <f>IF(選手!C39&lt;&gt;"",選手!C39,"")</f>
        <v>38</v>
      </c>
      <c r="M34" s="106">
        <f>IF(選手!C38&lt;&gt;"",選手!C38,"")</f>
        <v>37</v>
      </c>
      <c r="N34" s="107">
        <f>IF(選手!C37&lt;&gt;"",選手!C37,"")</f>
        <v>36</v>
      </c>
      <c r="O34" s="105">
        <f>IF(選手!C36&lt;&gt;"",選手!C36,"")</f>
        <v>35</v>
      </c>
      <c r="P34" s="105">
        <f>IF(選手!C35&lt;&gt;"",選手!C35,"")</f>
        <v>34</v>
      </c>
      <c r="Q34" s="105">
        <f>IF(選手!C34&lt;&gt;"",選手!C34,"")</f>
        <v>33</v>
      </c>
      <c r="R34" s="109">
        <f>IF(選手!C33&lt;&gt;"",選手!C33,"")</f>
        <v>32</v>
      </c>
      <c r="S34" s="105">
        <f>IF(選手!C32&lt;&gt;"",選手!C32,"")</f>
        <v>31</v>
      </c>
      <c r="T34" s="105">
        <f>IF(選手!C31&lt;&gt;"",選手!C31,"")</f>
        <v>30</v>
      </c>
      <c r="U34" s="106">
        <f>IF(選手!C30&lt;&gt;"",選手!C30,"")</f>
        <v>29</v>
      </c>
      <c r="V34" s="107">
        <f>IF(選手!C29&lt;&gt;"",選手!C29,"")</f>
        <v>28</v>
      </c>
      <c r="W34" s="105">
        <f>IF(選手!C28&lt;&gt;"",選手!C28,"")</f>
        <v>27</v>
      </c>
      <c r="X34" s="105">
        <f>IF(選手!C27&lt;&gt;"",選手!C27,"")</f>
        <v>26</v>
      </c>
      <c r="Y34" s="105">
        <f>IF(選手!C26&lt;&gt;"",選手!C26,"")</f>
        <v>25</v>
      </c>
      <c r="Z34" s="233" t="s">
        <v>18</v>
      </c>
      <c r="AA34" s="236"/>
      <c r="AB34" s="121"/>
      <c r="AC34" s="121"/>
      <c r="AD34" s="121"/>
      <c r="AE34" s="121"/>
      <c r="AF34" s="121"/>
      <c r="AG34" s="121"/>
      <c r="AH34" s="121"/>
      <c r="AI34" s="121"/>
    </row>
    <row r="35" spans="6:35" x14ac:dyDescent="0.55000000000000004">
      <c r="J35" s="110" t="str">
        <f>IF(選手!E41&lt;&gt;"",選手!E41,"")</f>
        <v>女</v>
      </c>
      <c r="K35" s="110" t="str">
        <f>IF(選手!E40&lt;&gt;"",選手!E40,"")</f>
        <v>女</v>
      </c>
      <c r="L35" s="110" t="str">
        <f>IF(選手!E39&lt;&gt;"",選手!E39,"")</f>
        <v>女</v>
      </c>
      <c r="M35" s="111" t="str">
        <f>IF(選手!E38&lt;&gt;"",選手!E38,"")</f>
        <v>女</v>
      </c>
      <c r="N35" s="112" t="str">
        <f>IF(選手!E37&lt;&gt;"",選手!E37,"")</f>
        <v>男</v>
      </c>
      <c r="O35" s="110" t="str">
        <f>IF(選手!E36&lt;&gt;"",選手!E36,"")</f>
        <v>男</v>
      </c>
      <c r="P35" s="110" t="str">
        <f>IF(選手!E35&lt;&gt;"",選手!E35,"")</f>
        <v>男</v>
      </c>
      <c r="Q35" s="110" t="str">
        <f>IF(選手!E34&lt;&gt;"",選手!E34,"")</f>
        <v>男</v>
      </c>
      <c r="R35" s="114" t="str">
        <f>IF(選手!E33&lt;&gt;"",選手!E33,"")</f>
        <v>女</v>
      </c>
      <c r="S35" s="110" t="str">
        <f>IF(選手!E32&lt;&gt;"",選手!E32,"")</f>
        <v>女</v>
      </c>
      <c r="T35" s="110" t="str">
        <f>IF(選手!E31&lt;&gt;"",選手!E31,"")</f>
        <v>女</v>
      </c>
      <c r="U35" s="111" t="str">
        <f>IF(選手!E30&lt;&gt;"",選手!E30,"")</f>
        <v>女</v>
      </c>
      <c r="V35" s="112" t="str">
        <f>IF(選手!E29&lt;&gt;"",選手!E29,"")</f>
        <v>男</v>
      </c>
      <c r="W35" s="110" t="str">
        <f>IF(選手!E28&lt;&gt;"",選手!E28,"")</f>
        <v>男</v>
      </c>
      <c r="X35" s="110" t="str">
        <f>IF(選手!E27&lt;&gt;"",選手!E27,"")</f>
        <v>男</v>
      </c>
      <c r="Y35" s="110" t="str">
        <f>IF(選手!E26&lt;&gt;"",選手!E26,"")</f>
        <v>男</v>
      </c>
      <c r="Z35" s="231" t="s">
        <v>1</v>
      </c>
      <c r="AA35" s="236"/>
      <c r="AB35" s="121"/>
      <c r="AC35" s="121"/>
      <c r="AD35" s="121"/>
      <c r="AE35" s="121"/>
      <c r="AF35" s="121"/>
      <c r="AG35" s="121"/>
      <c r="AH35" s="121"/>
      <c r="AI35" s="121"/>
    </row>
    <row r="36" spans="6:35" ht="155.5" customHeight="1" x14ac:dyDescent="0.55000000000000004">
      <c r="J36" s="116" t="str">
        <f>IF(選手!D41&lt;&gt;"",選手!D41,"")</f>
        <v>加藤 康子</v>
      </c>
      <c r="K36" s="116" t="str">
        <f>IF(選手!D40&lt;&gt;"",選手!D40,"")</f>
        <v>安達 初枝</v>
      </c>
      <c r="L36" s="116" t="str">
        <f>IF(選手!D39&lt;&gt;"",選手!D39,"")</f>
        <v>北川 裕希子</v>
      </c>
      <c r="M36" s="117" t="str">
        <f>IF(選手!D38&lt;&gt;"",選手!D38,"")</f>
        <v>田中 沙紀子</v>
      </c>
      <c r="N36" s="118" t="str">
        <f>IF(選手!D37&lt;&gt;"",選手!D37,"")</f>
        <v>山田 英治</v>
      </c>
      <c r="O36" s="116" t="str">
        <f>IF(選手!D36&lt;&gt;"",選手!D36,"")</f>
        <v>大竹 誠</v>
      </c>
      <c r="P36" s="116" t="str">
        <f>IF(選手!D35&lt;&gt;"",選手!D35,"")</f>
        <v>角谷 昌紀</v>
      </c>
      <c r="Q36" s="116" t="str">
        <f>IF(選手!D34&lt;&gt;"",選手!D34,"")</f>
        <v>西尾 雅司</v>
      </c>
      <c r="R36" s="120" t="str">
        <f>IF(選手!D33&lt;&gt;"",選手!D33,"")</f>
        <v>野々垣 奈緒子</v>
      </c>
      <c r="S36" s="116" t="str">
        <f>IF(選手!D32&lt;&gt;"",選手!D32,"")</f>
        <v>水野 三穂</v>
      </c>
      <c r="T36" s="116" t="str">
        <f>IF(選手!D31&lt;&gt;"",選手!D31,"")</f>
        <v>上平 佳織</v>
      </c>
      <c r="U36" s="117" t="str">
        <f>IF(選手!D30&lt;&gt;"",選手!D30,"")</f>
        <v>澤田 圭子</v>
      </c>
      <c r="V36" s="118" t="str">
        <f>IF(選手!D27&lt;&gt;"",選手!D27,"")</f>
        <v>松永 安太郎</v>
      </c>
      <c r="W36" s="116" t="str">
        <f>IF(選手!D29&lt;&gt;"",選手!D29,"")</f>
        <v>芝田 典久</v>
      </c>
      <c r="X36" s="116" t="str">
        <f>IF(選手!D28&lt;&gt;"",選手!D28,"")</f>
        <v>山本 三郎</v>
      </c>
      <c r="Y36" s="116" t="str">
        <f>IF(選手!D26&lt;&gt;"",選手!D26,"")</f>
        <v>葛西 裕文</v>
      </c>
      <c r="Z36" s="115" t="s">
        <v>58</v>
      </c>
      <c r="AA36" s="237"/>
      <c r="AB36" s="121"/>
      <c r="AC36" s="121"/>
      <c r="AD36" s="121"/>
      <c r="AE36" s="121"/>
      <c r="AF36" s="121"/>
      <c r="AG36" s="121"/>
      <c r="AH36" s="121"/>
      <c r="AI36" s="121"/>
    </row>
    <row r="38" spans="6:35" x14ac:dyDescent="0.55000000000000004">
      <c r="F38" s="181" t="str">
        <f>選手!B58</f>
        <v>瀬戸B</v>
      </c>
      <c r="G38" s="179"/>
      <c r="H38" s="179"/>
      <c r="I38" s="180"/>
      <c r="J38" s="179" t="str">
        <f>選手!B54</f>
        <v>瀬戸A</v>
      </c>
      <c r="K38" s="179"/>
      <c r="L38" s="179"/>
      <c r="M38" s="179"/>
      <c r="N38" s="182" t="str">
        <f>選手!B50</f>
        <v>愛知A</v>
      </c>
      <c r="O38" s="179"/>
      <c r="P38" s="179"/>
      <c r="Q38" s="183"/>
      <c r="R38" s="182" t="str">
        <f>選手!B46</f>
        <v>西春日井B</v>
      </c>
      <c r="S38" s="179"/>
      <c r="T38" s="179"/>
      <c r="U38" s="183"/>
      <c r="V38" s="179" t="str">
        <f>選手!B42</f>
        <v>西春日井A</v>
      </c>
      <c r="W38" s="179"/>
      <c r="X38" s="179"/>
      <c r="Y38" s="180"/>
      <c r="Z38" s="231" t="s">
        <v>2</v>
      </c>
      <c r="AA38" s="235" t="s">
        <v>128</v>
      </c>
    </row>
    <row r="39" spans="6:35" x14ac:dyDescent="0.55000000000000004">
      <c r="F39" s="175">
        <f>SUM(F41:I41)</f>
        <v>0</v>
      </c>
      <c r="G39" s="175"/>
      <c r="H39" s="175"/>
      <c r="I39" s="175"/>
      <c r="J39" s="174">
        <f>SUM(J41:M41)</f>
        <v>0</v>
      </c>
      <c r="K39" s="175"/>
      <c r="L39" s="175"/>
      <c r="M39" s="178"/>
      <c r="N39" s="176">
        <f t="shared" ref="N39" si="14">SUM(N41:Q41)</f>
        <v>0</v>
      </c>
      <c r="O39" s="175"/>
      <c r="P39" s="175"/>
      <c r="Q39" s="177"/>
      <c r="R39" s="176">
        <f t="shared" ref="R39" si="15">SUM(R41:U41)</f>
        <v>0</v>
      </c>
      <c r="S39" s="175"/>
      <c r="T39" s="175"/>
      <c r="U39" s="177"/>
      <c r="V39" s="174">
        <f t="shared" ref="V39" si="16">SUM(V41:Y41)</f>
        <v>0</v>
      </c>
      <c r="W39" s="175"/>
      <c r="X39" s="175"/>
      <c r="Y39" s="175"/>
      <c r="Z39" s="231" t="s">
        <v>3</v>
      </c>
      <c r="AA39" s="236"/>
    </row>
    <row r="40" spans="6:35" hidden="1" x14ac:dyDescent="0.55000000000000004">
      <c r="F40" s="80">
        <f>F41+0.1+(IF(F51="〇",1,0)*0.01)+(IF(F50="〇",1,0)*0.001)+(IF(F49="〇",1,0)*0.0001)+(IF(F48="〇",1,0)*0.00001)+(IF(F46="〇",1,0)*0.000001)+(IF(F45="〇",1,0)*0.0000001)+(IF(F44="〇",1,0)*0.00000001)+(IF(F43="〇",1,0)*0.000000001)</f>
        <v>0.1</v>
      </c>
      <c r="G40" s="80">
        <f>G41+0.1+(IF(G51="〇",1,0)*0.01)+(IF(G50="〇",1,0)*0.001)+(IF(G49="〇",1,0)*0.0001)+(IF(G48="〇",1,0)*0.00001)+(IF(G46="〇",1,0)*0.000001)+(IF(G45="〇",1,0)*0.0000001)+(IF(G44="〇",1,0)*0.00000001)+(IF(G43="〇",1,0)*0.000000001)</f>
        <v>0.1</v>
      </c>
      <c r="H40" s="80">
        <f>H41+0.1+(IF(H51="〇",1,0)*0.01)+(IF(H50="〇",1,0)*0.001)+(IF(H49="〇",1,0)*0.0001)+(IF(H48="〇",1,0)*0.00001)+(IF(H46="〇",1,0)*0.000001)+(IF(H45="〇",1,0)*0.0000001)+(IF(H44="〇",1,0)*0.00000001)+(IF(H43="〇",1,0)*0.000000001)</f>
        <v>0.1</v>
      </c>
      <c r="I40" s="80">
        <f>I41+0.1+(IF(I51="〇",1,0)*0.01)+(IF(I50="〇",1,0)*0.001)+(IF(I49="〇",1,0)*0.0001)+(IF(I48="〇",1,0)*0.00001)+(IF(I46="〇",1,0)*0.000001)+(IF(I45="〇",1,0)*0.0000001)+(IF(I44="〇",1,0)*0.00000001)+(IF(I43="〇",1,0)*0.000000001)</f>
        <v>0.1</v>
      </c>
      <c r="J40" s="84">
        <f>J41+0.1+(IF(J51="〇",1,0)*0.01)+(IF(J50="〇",1,0)*0.001)+(IF(J49="〇",1,0)*0.0001)+(IF(J48="〇",1,0)*0.00001)+(IF(J46="〇",1,0)*0.000001)+(IF(J45="〇",1,0)*0.0000001)+(IF(J44="〇",1,0)*0.00000001)+(IF(J43="〇",1,0)*0.000000001)</f>
        <v>0.1</v>
      </c>
      <c r="K40" s="80">
        <f>K41+0.1+(IF(K51="〇",1,0)*0.01)+(IF(K50="〇",1,0)*0.001)+(IF(K49="〇",1,0)*0.0001)+(IF(K48="〇",1,0)*0.00001)+(IF(K46="〇",1,0)*0.000001)+(IF(K45="〇",1,0)*0.0000001)+(IF(K44="〇",1,0)*0.00000001)+(IF(K43="〇",1,0)*0.000000001)</f>
        <v>0.1</v>
      </c>
      <c r="L40" s="80">
        <f>L41+0.1+(IF(L51="〇",1,0)*0.01)+(IF(L50="〇",1,0)*0.001)+(IF(L49="〇",1,0)*0.0001)+(IF(L48="〇",1,0)*0.00001)+(IF(L46="〇",1,0)*0.000001)+(IF(L45="〇",1,0)*0.0000001)+(IF(L44="〇",1,0)*0.00000001)+(IF(L43="〇",1,0)*0.000000001)</f>
        <v>0.1</v>
      </c>
      <c r="M40" s="81">
        <f>M41+0.1+(IF(M51="〇",1,0)*0.01)+(IF(M50="〇",1,0)*0.001)+(IF(M49="〇",1,0)*0.0001)+(IF(M48="〇",1,0)*0.00001)+(IF(M46="〇",1,0)*0.000001)+(IF(M45="〇",1,0)*0.0000001)+(IF(M44="〇",1,0)*0.00000001)+(IF(M43="〇",1,0)*0.000000001)</f>
        <v>0.1</v>
      </c>
      <c r="N40" s="82">
        <f t="shared" ref="N40:Y40" si="17">N41+0.1+(IF(N51="〇",1,0)*0.01)+(IF(N50="〇",1,0)*0.001)+(IF(N49="〇",1,0)*0.0001)+(IF(N48="〇",1,0)*0.00001)+(IF(N46="〇",1,0)*0.000001)+(IF(N45="〇",1,0)*0.0000001)+(IF(N44="〇",1,0)*0.00000001)+(IF(N43="〇",1,0)*0.000000001)</f>
        <v>0.1</v>
      </c>
      <c r="O40" s="80">
        <f t="shared" si="17"/>
        <v>0.1</v>
      </c>
      <c r="P40" s="80">
        <f t="shared" si="17"/>
        <v>0.1</v>
      </c>
      <c r="Q40" s="80">
        <f t="shared" si="17"/>
        <v>0.1</v>
      </c>
      <c r="R40" s="80">
        <f t="shared" si="17"/>
        <v>0.1</v>
      </c>
      <c r="S40" s="80">
        <f t="shared" si="17"/>
        <v>0.1</v>
      </c>
      <c r="T40" s="80">
        <f t="shared" si="17"/>
        <v>0.1</v>
      </c>
      <c r="U40" s="83">
        <f t="shared" si="17"/>
        <v>0.1</v>
      </c>
      <c r="V40" s="84">
        <f t="shared" si="17"/>
        <v>0.1</v>
      </c>
      <c r="W40" s="80">
        <f t="shared" si="17"/>
        <v>0.1</v>
      </c>
      <c r="X40" s="80">
        <f t="shared" si="17"/>
        <v>0.1</v>
      </c>
      <c r="Y40" s="80">
        <f t="shared" si="17"/>
        <v>0.1</v>
      </c>
      <c r="Z40" s="231" t="s">
        <v>32</v>
      </c>
      <c r="AA40" s="236"/>
    </row>
    <row r="41" spans="6:35" x14ac:dyDescent="0.55000000000000004">
      <c r="F41" s="85">
        <f t="shared" ref="F41:I41" si="18">F42+F47</f>
        <v>0</v>
      </c>
      <c r="G41" s="85">
        <f t="shared" si="18"/>
        <v>0</v>
      </c>
      <c r="H41" s="85">
        <f t="shared" si="18"/>
        <v>0</v>
      </c>
      <c r="I41" s="85">
        <f t="shared" si="18"/>
        <v>0</v>
      </c>
      <c r="J41" s="89">
        <f>J42+J47</f>
        <v>0</v>
      </c>
      <c r="K41" s="85">
        <f>K42+K47</f>
        <v>0</v>
      </c>
      <c r="L41" s="85">
        <f>L42+L47</f>
        <v>0</v>
      </c>
      <c r="M41" s="86">
        <f>M42+M47</f>
        <v>0</v>
      </c>
      <c r="N41" s="87">
        <f t="shared" ref="N41:Y41" si="19">N42+N47</f>
        <v>0</v>
      </c>
      <c r="O41" s="85">
        <f t="shared" si="19"/>
        <v>0</v>
      </c>
      <c r="P41" s="85">
        <f t="shared" si="19"/>
        <v>0</v>
      </c>
      <c r="Q41" s="88">
        <f t="shared" si="19"/>
        <v>0</v>
      </c>
      <c r="R41" s="87">
        <f t="shared" si="19"/>
        <v>0</v>
      </c>
      <c r="S41" s="85">
        <f t="shared" si="19"/>
        <v>0</v>
      </c>
      <c r="T41" s="85">
        <f t="shared" si="19"/>
        <v>0</v>
      </c>
      <c r="U41" s="88">
        <f t="shared" si="19"/>
        <v>0</v>
      </c>
      <c r="V41" s="89">
        <f t="shared" si="19"/>
        <v>0</v>
      </c>
      <c r="W41" s="85">
        <f t="shared" si="19"/>
        <v>0</v>
      </c>
      <c r="X41" s="85">
        <f t="shared" si="19"/>
        <v>0</v>
      </c>
      <c r="Y41" s="85">
        <f t="shared" si="19"/>
        <v>0</v>
      </c>
      <c r="Z41" s="231" t="s">
        <v>4</v>
      </c>
      <c r="AA41" s="236"/>
    </row>
    <row r="42" spans="6:35" x14ac:dyDescent="0.55000000000000004">
      <c r="F42" s="90">
        <f t="shared" ref="F42:I42" si="20">COUNTIF(F43:F46,"〇")</f>
        <v>0</v>
      </c>
      <c r="G42" s="90">
        <f t="shared" si="20"/>
        <v>0</v>
      </c>
      <c r="H42" s="90">
        <f t="shared" si="20"/>
        <v>0</v>
      </c>
      <c r="I42" s="90">
        <f t="shared" si="20"/>
        <v>0</v>
      </c>
      <c r="J42" s="94">
        <f>COUNTIF(J43:J46,"〇")</f>
        <v>0</v>
      </c>
      <c r="K42" s="90">
        <f>COUNTIF(K43:K46,"〇")</f>
        <v>0</v>
      </c>
      <c r="L42" s="90">
        <f>COUNTIF(L43:L46,"〇")</f>
        <v>0</v>
      </c>
      <c r="M42" s="91">
        <f>COUNTIF(M43:M46,"〇")</f>
        <v>0</v>
      </c>
      <c r="N42" s="92">
        <f t="shared" ref="N42:Y42" si="21">COUNTIF(N43:N46,"〇")</f>
        <v>0</v>
      </c>
      <c r="O42" s="90">
        <f t="shared" si="21"/>
        <v>0</v>
      </c>
      <c r="P42" s="90">
        <f t="shared" si="21"/>
        <v>0</v>
      </c>
      <c r="Q42" s="93">
        <f t="shared" si="21"/>
        <v>0</v>
      </c>
      <c r="R42" s="92">
        <f t="shared" si="21"/>
        <v>0</v>
      </c>
      <c r="S42" s="90">
        <f t="shared" si="21"/>
        <v>0</v>
      </c>
      <c r="T42" s="90">
        <f t="shared" si="21"/>
        <v>0</v>
      </c>
      <c r="U42" s="93">
        <f t="shared" si="21"/>
        <v>0</v>
      </c>
      <c r="V42" s="94">
        <f t="shared" si="21"/>
        <v>0</v>
      </c>
      <c r="W42" s="90">
        <f t="shared" si="21"/>
        <v>0</v>
      </c>
      <c r="X42" s="90">
        <f t="shared" si="21"/>
        <v>0</v>
      </c>
      <c r="Y42" s="90">
        <f t="shared" si="21"/>
        <v>0</v>
      </c>
      <c r="Z42" s="231" t="s">
        <v>21</v>
      </c>
      <c r="AA42" s="236"/>
    </row>
    <row r="43" spans="6:35" x14ac:dyDescent="0.55000000000000004">
      <c r="F43" s="95"/>
      <c r="G43" s="95"/>
      <c r="H43" s="95"/>
      <c r="I43" s="95"/>
      <c r="J43" s="99"/>
      <c r="K43" s="95"/>
      <c r="L43" s="95"/>
      <c r="M43" s="96"/>
      <c r="N43" s="97"/>
      <c r="O43" s="95"/>
      <c r="P43" s="95"/>
      <c r="Q43" s="98"/>
      <c r="R43" s="97"/>
      <c r="S43" s="95"/>
      <c r="T43" s="95"/>
      <c r="U43" s="98"/>
      <c r="V43" s="99"/>
      <c r="W43" s="95"/>
      <c r="X43" s="95"/>
      <c r="Y43" s="95"/>
      <c r="Z43" s="231" t="s">
        <v>22</v>
      </c>
      <c r="AA43" s="236"/>
    </row>
    <row r="44" spans="6:35" x14ac:dyDescent="0.55000000000000004">
      <c r="F44" s="95"/>
      <c r="G44" s="95"/>
      <c r="H44" s="95"/>
      <c r="I44" s="95"/>
      <c r="J44" s="99"/>
      <c r="K44" s="95"/>
      <c r="L44" s="95"/>
      <c r="M44" s="96"/>
      <c r="N44" s="97"/>
      <c r="O44" s="95"/>
      <c r="P44" s="95"/>
      <c r="Q44" s="98"/>
      <c r="R44" s="97"/>
      <c r="S44" s="95"/>
      <c r="T44" s="95"/>
      <c r="U44" s="98"/>
      <c r="V44" s="99"/>
      <c r="W44" s="95"/>
      <c r="X44" s="95"/>
      <c r="Y44" s="95"/>
      <c r="Z44" s="231" t="s">
        <v>24</v>
      </c>
      <c r="AA44" s="236"/>
    </row>
    <row r="45" spans="6:35" x14ac:dyDescent="0.55000000000000004">
      <c r="F45" s="95"/>
      <c r="G45" s="95"/>
      <c r="H45" s="95"/>
      <c r="I45" s="95"/>
      <c r="J45" s="99"/>
      <c r="K45" s="95"/>
      <c r="L45" s="95"/>
      <c r="M45" s="96"/>
      <c r="N45" s="97"/>
      <c r="O45" s="95"/>
      <c r="P45" s="95"/>
      <c r="Q45" s="98"/>
      <c r="R45" s="97"/>
      <c r="S45" s="95"/>
      <c r="T45" s="95"/>
      <c r="U45" s="98"/>
      <c r="V45" s="99"/>
      <c r="W45" s="95"/>
      <c r="X45" s="95"/>
      <c r="Y45" s="95"/>
      <c r="Z45" s="231" t="s">
        <v>26</v>
      </c>
      <c r="AA45" s="236"/>
    </row>
    <row r="46" spans="6:35" x14ac:dyDescent="0.55000000000000004">
      <c r="F46" s="95"/>
      <c r="G46" s="95"/>
      <c r="H46" s="95"/>
      <c r="I46" s="95"/>
      <c r="J46" s="99"/>
      <c r="K46" s="95"/>
      <c r="L46" s="95"/>
      <c r="M46" s="96"/>
      <c r="N46" s="97"/>
      <c r="O46" s="95"/>
      <c r="P46" s="95"/>
      <c r="Q46" s="98"/>
      <c r="R46" s="97"/>
      <c r="S46" s="95"/>
      <c r="T46" s="95"/>
      <c r="U46" s="98"/>
      <c r="V46" s="99"/>
      <c r="W46" s="95"/>
      <c r="X46" s="95"/>
      <c r="Y46" s="95"/>
      <c r="Z46" s="231" t="s">
        <v>28</v>
      </c>
      <c r="AA46" s="236"/>
    </row>
    <row r="47" spans="6:35" x14ac:dyDescent="0.55000000000000004">
      <c r="F47" s="90">
        <f t="shared" ref="F47:I47" si="22">COUNTIF(F48:F51,"〇")</f>
        <v>0</v>
      </c>
      <c r="G47" s="90">
        <f t="shared" si="22"/>
        <v>0</v>
      </c>
      <c r="H47" s="90">
        <f t="shared" si="22"/>
        <v>0</v>
      </c>
      <c r="I47" s="90">
        <f t="shared" si="22"/>
        <v>0</v>
      </c>
      <c r="J47" s="94">
        <f>COUNTIF(J48:J51,"〇")</f>
        <v>0</v>
      </c>
      <c r="K47" s="90">
        <f>COUNTIF(K48:K51,"〇")</f>
        <v>0</v>
      </c>
      <c r="L47" s="90">
        <f>COUNTIF(L48:L51,"〇")</f>
        <v>0</v>
      </c>
      <c r="M47" s="91">
        <f>COUNTIF(M48:M51,"〇")</f>
        <v>0</v>
      </c>
      <c r="N47" s="92">
        <f t="shared" ref="N47:Y47" si="23">COUNTIF(N48:N51,"〇")</f>
        <v>0</v>
      </c>
      <c r="O47" s="90">
        <f t="shared" si="23"/>
        <v>0</v>
      </c>
      <c r="P47" s="90">
        <f t="shared" si="23"/>
        <v>0</v>
      </c>
      <c r="Q47" s="93">
        <f t="shared" si="23"/>
        <v>0</v>
      </c>
      <c r="R47" s="92">
        <f t="shared" si="23"/>
        <v>0</v>
      </c>
      <c r="S47" s="90">
        <f t="shared" si="23"/>
        <v>0</v>
      </c>
      <c r="T47" s="90">
        <f t="shared" si="23"/>
        <v>0</v>
      </c>
      <c r="U47" s="93">
        <f t="shared" si="23"/>
        <v>0</v>
      </c>
      <c r="V47" s="94">
        <f t="shared" si="23"/>
        <v>0</v>
      </c>
      <c r="W47" s="90">
        <f t="shared" si="23"/>
        <v>0</v>
      </c>
      <c r="X47" s="90">
        <f t="shared" si="23"/>
        <v>0</v>
      </c>
      <c r="Y47" s="90">
        <f t="shared" si="23"/>
        <v>0</v>
      </c>
      <c r="Z47" s="231" t="s">
        <v>20</v>
      </c>
      <c r="AA47" s="236"/>
    </row>
    <row r="48" spans="6:35" x14ac:dyDescent="0.55000000000000004">
      <c r="F48" s="95"/>
      <c r="G48" s="95"/>
      <c r="H48" s="95"/>
      <c r="I48" s="95"/>
      <c r="J48" s="99"/>
      <c r="K48" s="95"/>
      <c r="L48" s="95"/>
      <c r="M48" s="96"/>
      <c r="N48" s="97"/>
      <c r="O48" s="95"/>
      <c r="P48" s="95"/>
      <c r="Q48" s="98"/>
      <c r="R48" s="97"/>
      <c r="S48" s="95"/>
      <c r="T48" s="95"/>
      <c r="U48" s="98"/>
      <c r="V48" s="99"/>
      <c r="W48" s="95"/>
      <c r="X48" s="95"/>
      <c r="Y48" s="95"/>
      <c r="Z48" s="231" t="s">
        <v>22</v>
      </c>
      <c r="AA48" s="236"/>
    </row>
    <row r="49" spans="2:27" x14ac:dyDescent="0.55000000000000004">
      <c r="F49" s="95"/>
      <c r="G49" s="95"/>
      <c r="H49" s="95"/>
      <c r="I49" s="95"/>
      <c r="J49" s="99"/>
      <c r="K49" s="95"/>
      <c r="L49" s="95"/>
      <c r="M49" s="96"/>
      <c r="N49" s="97"/>
      <c r="O49" s="95"/>
      <c r="P49" s="95"/>
      <c r="Q49" s="98"/>
      <c r="R49" s="97"/>
      <c r="S49" s="95"/>
      <c r="T49" s="95"/>
      <c r="U49" s="98"/>
      <c r="V49" s="99"/>
      <c r="W49" s="95"/>
      <c r="X49" s="95"/>
      <c r="Y49" s="95"/>
      <c r="Z49" s="231" t="s">
        <v>24</v>
      </c>
      <c r="AA49" s="236"/>
    </row>
    <row r="50" spans="2:27" x14ac:dyDescent="0.55000000000000004">
      <c r="F50" s="95"/>
      <c r="G50" s="95"/>
      <c r="H50" s="95"/>
      <c r="I50" s="95"/>
      <c r="J50" s="99"/>
      <c r="K50" s="95"/>
      <c r="L50" s="95"/>
      <c r="M50" s="96"/>
      <c r="N50" s="97"/>
      <c r="O50" s="95"/>
      <c r="P50" s="95"/>
      <c r="Q50" s="98"/>
      <c r="R50" s="97"/>
      <c r="S50" s="95"/>
      <c r="T50" s="95"/>
      <c r="U50" s="98"/>
      <c r="V50" s="99"/>
      <c r="W50" s="95"/>
      <c r="X50" s="95"/>
      <c r="Y50" s="95"/>
      <c r="Z50" s="231" t="s">
        <v>26</v>
      </c>
      <c r="AA50" s="236"/>
    </row>
    <row r="51" spans="2:27" ht="33" thickBot="1" x14ac:dyDescent="0.6">
      <c r="F51" s="100"/>
      <c r="G51" s="100"/>
      <c r="H51" s="100"/>
      <c r="I51" s="100"/>
      <c r="J51" s="104"/>
      <c r="K51" s="100"/>
      <c r="L51" s="100"/>
      <c r="M51" s="101"/>
      <c r="N51" s="102"/>
      <c r="O51" s="100"/>
      <c r="P51" s="100"/>
      <c r="Q51" s="103"/>
      <c r="R51" s="102"/>
      <c r="S51" s="100"/>
      <c r="T51" s="100"/>
      <c r="U51" s="103"/>
      <c r="V51" s="104"/>
      <c r="W51" s="100"/>
      <c r="X51" s="100"/>
      <c r="Y51" s="100"/>
      <c r="Z51" s="232" t="s">
        <v>28</v>
      </c>
      <c r="AA51" s="236"/>
    </row>
    <row r="52" spans="2:27" x14ac:dyDescent="0.55000000000000004">
      <c r="F52" s="105">
        <v>60</v>
      </c>
      <c r="G52" s="105">
        <v>59</v>
      </c>
      <c r="H52" s="105">
        <v>58</v>
      </c>
      <c r="I52" s="105">
        <v>57</v>
      </c>
      <c r="J52" s="109">
        <v>56</v>
      </c>
      <c r="K52" s="105">
        <v>55</v>
      </c>
      <c r="L52" s="105">
        <v>54</v>
      </c>
      <c r="M52" s="106">
        <v>53</v>
      </c>
      <c r="N52" s="107">
        <v>52</v>
      </c>
      <c r="O52" s="105">
        <v>51</v>
      </c>
      <c r="P52" s="105">
        <v>50</v>
      </c>
      <c r="Q52" s="108">
        <v>49</v>
      </c>
      <c r="R52" s="107">
        <v>48</v>
      </c>
      <c r="S52" s="105">
        <v>47</v>
      </c>
      <c r="T52" s="105">
        <v>46</v>
      </c>
      <c r="U52" s="108">
        <v>45</v>
      </c>
      <c r="V52" s="109">
        <v>44</v>
      </c>
      <c r="W52" s="105">
        <v>43</v>
      </c>
      <c r="X52" s="105">
        <v>42</v>
      </c>
      <c r="Y52" s="105">
        <v>41</v>
      </c>
      <c r="Z52" s="233" t="s">
        <v>18</v>
      </c>
      <c r="AA52" s="236"/>
    </row>
    <row r="53" spans="2:27" x14ac:dyDescent="0.55000000000000004">
      <c r="F53" s="110" t="str">
        <f>IF(選手!E61&lt;&gt;"",選手!E61,"")</f>
        <v>女</v>
      </c>
      <c r="G53" s="110" t="str">
        <f>IF(選手!E60&lt;&gt;"",選手!E60,"")</f>
        <v>女</v>
      </c>
      <c r="H53" s="110" t="str">
        <f>IF(選手!E59&lt;&gt;"",選手!E59,"")</f>
        <v>女</v>
      </c>
      <c r="I53" s="110" t="str">
        <f>IF(選手!E58&lt;&gt;"",選手!E58,"")</f>
        <v>女</v>
      </c>
      <c r="J53" s="114" t="str">
        <f>IF(選手!E57&lt;&gt;"",選手!E57,"")</f>
        <v>男</v>
      </c>
      <c r="K53" s="110" t="str">
        <f>IF(選手!E56&lt;&gt;"",選手!E56,"")</f>
        <v>男</v>
      </c>
      <c r="L53" s="110" t="str">
        <f>IF(選手!E55&lt;&gt;"",選手!E55,"")</f>
        <v>男</v>
      </c>
      <c r="M53" s="111" t="str">
        <f>IF(選手!E54&lt;&gt;"",選手!E54,"")</f>
        <v>男</v>
      </c>
      <c r="N53" s="112" t="str">
        <f>IF(選手!E53&lt;&gt;"",選手!E53,"")</f>
        <v>男</v>
      </c>
      <c r="O53" s="110" t="str">
        <f>IF(選手!E52&lt;&gt;"",選手!E52,"")</f>
        <v>男</v>
      </c>
      <c r="P53" s="110" t="str">
        <f>IF(選手!E51&lt;&gt;"",選手!E51,"")</f>
        <v>男</v>
      </c>
      <c r="Q53" s="111" t="str">
        <f>IF(選手!E50&lt;&gt;"",選手!E50,"")</f>
        <v>男</v>
      </c>
      <c r="R53" s="112" t="str">
        <f>IF(選手!E49&lt;&gt;"",選手!E49,"")</f>
        <v>女</v>
      </c>
      <c r="S53" s="110" t="str">
        <f>IF(選手!E48&lt;&gt;"",選手!E48,"")</f>
        <v>女</v>
      </c>
      <c r="T53" s="110" t="str">
        <f>IF(選手!E47&lt;&gt;"",選手!E47,"")</f>
        <v>女</v>
      </c>
      <c r="U53" s="113" t="str">
        <f>IF(選手!E46&lt;&gt;"",選手!E46,"")</f>
        <v>女</v>
      </c>
      <c r="V53" s="114" t="str">
        <f>IF(選手!E45&lt;&gt;"",選手!E45,"")</f>
        <v>男</v>
      </c>
      <c r="W53" s="110" t="str">
        <f>IF(選手!E44&lt;&gt;"",選手!E44,"")</f>
        <v>男</v>
      </c>
      <c r="X53" s="110" t="str">
        <f>IF(選手!E43&lt;&gt;"",選手!E43,"")</f>
        <v>男</v>
      </c>
      <c r="Y53" s="110" t="str">
        <f>IF(選手!E42&lt;&gt;"",選手!E42,"")</f>
        <v>男</v>
      </c>
      <c r="Z53" s="231" t="s">
        <v>1</v>
      </c>
      <c r="AA53" s="236"/>
    </row>
    <row r="54" spans="2:27" ht="155.5" customHeight="1" x14ac:dyDescent="0.55000000000000004">
      <c r="F54" s="116" t="str">
        <f>IF(選手!D61&lt;&gt;"",選手!D61,"")</f>
        <v>原 由美子</v>
      </c>
      <c r="G54" s="116" t="str">
        <f>IF(選手!D60&lt;&gt;"",選手!D60,"")</f>
        <v>瀬山 博子</v>
      </c>
      <c r="H54" s="116" t="str">
        <f>IF(選手!D59&lt;&gt;"",選手!D59,"")</f>
        <v>加藤 節子</v>
      </c>
      <c r="I54" s="116" t="str">
        <f>IF(選手!D58&lt;&gt;"",選手!D58,"")</f>
        <v>谷口 弥生</v>
      </c>
      <c r="J54" s="120" t="str">
        <f>IF(選手!D57&lt;&gt;"",選手!D57,"")</f>
        <v>長江 辰彦</v>
      </c>
      <c r="K54" s="116" t="str">
        <f>IF(選手!D56&lt;&gt;"",選手!D56,"")</f>
        <v>加藤 広史</v>
      </c>
      <c r="L54" s="116" t="str">
        <f>IF(選手!D55&lt;&gt;"",選手!D55,"")</f>
        <v>野村 清美</v>
      </c>
      <c r="M54" s="117" t="str">
        <f>IF(選手!D54&lt;&gt;"",選手!D54,"")</f>
        <v>矢島 悟朗</v>
      </c>
      <c r="N54" s="118" t="str">
        <f>IF(選手!D53&lt;&gt;"",選手!D53,"")</f>
        <v>木村 憲司</v>
      </c>
      <c r="O54" s="116" t="str">
        <f>IF(選手!D52&lt;&gt;"",選手!D52,"")</f>
        <v>小沢 浩寿</v>
      </c>
      <c r="P54" s="116" t="str">
        <f>IF(選手!D51&lt;&gt;"",選手!D51,"")</f>
        <v>平野 良則</v>
      </c>
      <c r="Q54" s="119" t="str">
        <f>IF(選手!D50&lt;&gt;"",選手!D50,"")</f>
        <v>門矢 誠</v>
      </c>
      <c r="R54" s="118" t="str">
        <f>IF(選手!D49&lt;&gt;"",選手!D49,"")</f>
        <v>白井 千鶴子</v>
      </c>
      <c r="S54" s="116" t="str">
        <f>IF(選手!D48&lt;&gt;"",選手!D48,"")</f>
        <v>荒川 花子</v>
      </c>
      <c r="T54" s="116" t="str">
        <f>IF(選手!D47&lt;&gt;"",選手!D47,"")</f>
        <v>中神 佐知子</v>
      </c>
      <c r="U54" s="119" t="str">
        <f>IF(選手!D46&lt;&gt;"",選手!D46,"")</f>
        <v>村瀬 沙織</v>
      </c>
      <c r="V54" s="120" t="str">
        <f>IF(選手!D45&lt;&gt;"",選手!D45,"")</f>
        <v>加藤 忠人</v>
      </c>
      <c r="W54" s="116" t="str">
        <f>IF(選手!D44&lt;&gt;"",選手!D44,"")</f>
        <v>大槻 成実</v>
      </c>
      <c r="X54" s="116" t="str">
        <f>IF(選手!D43&lt;&gt;"",選手!D43,"")</f>
        <v>杉原 伸哉</v>
      </c>
      <c r="Y54" s="116" t="str">
        <f>IF(選手!D42&lt;&gt;"",選手!D42,"")</f>
        <v>丹羽 泰生</v>
      </c>
      <c r="Z54" s="115" t="s">
        <v>58</v>
      </c>
      <c r="AA54" s="237"/>
    </row>
    <row r="56" spans="2:27" x14ac:dyDescent="0.55000000000000004">
      <c r="B56" s="181" t="str">
        <f>選手!B62</f>
        <v>ダミーA</v>
      </c>
      <c r="C56" s="179"/>
      <c r="D56" s="179"/>
      <c r="E56" s="179"/>
    </row>
    <row r="57" spans="2:27" x14ac:dyDescent="0.55000000000000004">
      <c r="B57" s="175">
        <f>SUM(B59:E59)</f>
        <v>0</v>
      </c>
      <c r="C57" s="175"/>
      <c r="D57" s="175"/>
      <c r="E57" s="178"/>
    </row>
    <row r="58" spans="2:27" x14ac:dyDescent="0.55000000000000004">
      <c r="B58" s="80">
        <f>B59+0.1+(IF(B69="〇",1,0)*0.01)+(IF(B68="〇",1,0)*0.001)+(IF(B67="〇",1,0)*0.0001)+(IF(B66="〇",1,0)*0.00001)+(IF(B64="〇",1,0)*0.000001)+(IF(B63="〇",1,0)*0.0000001)+(IF(B62="〇",1,0)*0.00000001)+(IF(B61="〇",1,0)*0.000000001)</f>
        <v>0.1</v>
      </c>
      <c r="C58" s="80">
        <f t="shared" ref="C58:F58" si="24">C59+0.1+(IF(C69="〇",1,0)*0.01)+(IF(C68="〇",1,0)*0.001)+(IF(C67="〇",1,0)*0.0001)+(IF(C66="〇",1,0)*0.00001)+(IF(C64="〇",1,0)*0.000001)+(IF(C63="〇",1,0)*0.0000001)+(IF(C62="〇",1,0)*0.00000001)+(IF(C61="〇",1,0)*0.000000001)</f>
        <v>0.1</v>
      </c>
      <c r="D58" s="80">
        <f t="shared" si="24"/>
        <v>0.1</v>
      </c>
      <c r="E58" s="81">
        <f t="shared" si="24"/>
        <v>0.1</v>
      </c>
    </row>
    <row r="59" spans="2:27" x14ac:dyDescent="0.55000000000000004">
      <c r="B59" s="85">
        <f>B60+B65</f>
        <v>0</v>
      </c>
      <c r="C59" s="85">
        <f t="shared" ref="C59:E59" si="25">C60+C65</f>
        <v>0</v>
      </c>
      <c r="D59" s="85">
        <f t="shared" si="25"/>
        <v>0</v>
      </c>
      <c r="E59" s="86">
        <f t="shared" si="25"/>
        <v>0</v>
      </c>
    </row>
    <row r="60" spans="2:27" x14ac:dyDescent="0.55000000000000004">
      <c r="B60" s="90">
        <f>COUNTIF(B61:B64,"〇")</f>
        <v>0</v>
      </c>
      <c r="C60" s="90">
        <f t="shared" ref="C60:E60" si="26">COUNTIF(C61:C64,"〇")</f>
        <v>0</v>
      </c>
      <c r="D60" s="90">
        <f t="shared" si="26"/>
        <v>0</v>
      </c>
      <c r="E60" s="91">
        <f t="shared" si="26"/>
        <v>0</v>
      </c>
    </row>
    <row r="61" spans="2:27" x14ac:dyDescent="0.55000000000000004">
      <c r="B61" s="95"/>
      <c r="C61" s="95"/>
      <c r="D61" s="95"/>
      <c r="E61" s="96"/>
    </row>
    <row r="62" spans="2:27" x14ac:dyDescent="0.55000000000000004">
      <c r="B62" s="95"/>
      <c r="C62" s="95"/>
      <c r="D62" s="95"/>
      <c r="E62" s="96"/>
    </row>
    <row r="63" spans="2:27" x14ac:dyDescent="0.55000000000000004">
      <c r="B63" s="95"/>
      <c r="C63" s="95"/>
      <c r="D63" s="95"/>
      <c r="E63" s="96"/>
    </row>
    <row r="64" spans="2:27" x14ac:dyDescent="0.55000000000000004">
      <c r="B64" s="95"/>
      <c r="C64" s="95"/>
      <c r="D64" s="95"/>
      <c r="E64" s="96"/>
    </row>
    <row r="65" spans="2:5" x14ac:dyDescent="0.55000000000000004">
      <c r="B65" s="90">
        <f>COUNTIF(B66:B69,"〇")</f>
        <v>0</v>
      </c>
      <c r="C65" s="90">
        <f t="shared" ref="C65:E65" si="27">COUNTIF(C66:C69,"〇")</f>
        <v>0</v>
      </c>
      <c r="D65" s="90">
        <f t="shared" si="27"/>
        <v>0</v>
      </c>
      <c r="E65" s="91">
        <f t="shared" si="27"/>
        <v>0</v>
      </c>
    </row>
    <row r="66" spans="2:5" x14ac:dyDescent="0.55000000000000004">
      <c r="B66" s="95"/>
      <c r="C66" s="95"/>
      <c r="D66" s="95"/>
      <c r="E66" s="96"/>
    </row>
    <row r="67" spans="2:5" x14ac:dyDescent="0.55000000000000004">
      <c r="B67" s="95"/>
      <c r="C67" s="95"/>
      <c r="D67" s="95"/>
      <c r="E67" s="96"/>
    </row>
    <row r="68" spans="2:5" x14ac:dyDescent="0.55000000000000004">
      <c r="B68" s="95"/>
      <c r="C68" s="95"/>
      <c r="D68" s="95"/>
      <c r="E68" s="96"/>
    </row>
    <row r="69" spans="2:5" ht="33" thickBot="1" x14ac:dyDescent="0.6">
      <c r="B69" s="100"/>
      <c r="C69" s="100"/>
      <c r="D69" s="100"/>
      <c r="E69" s="101"/>
    </row>
    <row r="70" spans="2:5" x14ac:dyDescent="0.55000000000000004">
      <c r="B70" s="105">
        <f>IF(選手!C65&lt;&gt;"",選手!C65,"")</f>
        <v>64</v>
      </c>
      <c r="C70" s="105">
        <f>IF(選手!C64&lt;&gt;"",選手!C64,"")</f>
        <v>63</v>
      </c>
      <c r="D70" s="105">
        <f>IF(選手!C63&lt;&gt;"",選手!C63,"")</f>
        <v>62</v>
      </c>
      <c r="E70" s="106">
        <f>IF(選手!C62&lt;&gt;"",選手!C62,"")</f>
        <v>61</v>
      </c>
    </row>
    <row r="71" spans="2:5" x14ac:dyDescent="0.55000000000000004">
      <c r="B71" s="110" t="str">
        <f>IF(選手!E65&lt;&gt;"",選手!E65,"")</f>
        <v/>
      </c>
      <c r="C71" s="110" t="str">
        <f>IF(選手!E64&lt;&gt;"",選手!E64,"")</f>
        <v/>
      </c>
      <c r="D71" s="110" t="str">
        <f>IF(選手!E63&lt;&gt;"",選手!E63,"")</f>
        <v/>
      </c>
      <c r="E71" s="111" t="str">
        <f>IF(選手!E62&lt;&gt;"",選手!E62,"")</f>
        <v/>
      </c>
    </row>
    <row r="72" spans="2:5" x14ac:dyDescent="0.55000000000000004">
      <c r="B72" s="116" t="str">
        <f>IF(選手!D65&lt;&gt;"",選手!D65,"")</f>
        <v/>
      </c>
      <c r="C72" s="116" t="str">
        <f>IF(選手!D64&lt;&gt;"",選手!D64,"")</f>
        <v/>
      </c>
      <c r="D72" s="116" t="str">
        <f>IF(選手!D63&lt;&gt;"",選手!D63,"")</f>
        <v/>
      </c>
      <c r="E72" s="117" t="str">
        <f>IF(選手!D62&lt;&gt;"",選手!D62,"")</f>
        <v/>
      </c>
    </row>
  </sheetData>
  <mergeCells count="35">
    <mergeCell ref="B56:E56"/>
    <mergeCell ref="B57:E57"/>
    <mergeCell ref="AA2:AA18"/>
    <mergeCell ref="AA20:AA36"/>
    <mergeCell ref="AA38:AA54"/>
    <mergeCell ref="F38:I38"/>
    <mergeCell ref="J38:M38"/>
    <mergeCell ref="N38:Q38"/>
    <mergeCell ref="R38:U38"/>
    <mergeCell ref="V38:Y38"/>
    <mergeCell ref="F39:I39"/>
    <mergeCell ref="J39:M39"/>
    <mergeCell ref="N39:Q39"/>
    <mergeCell ref="R39:U39"/>
    <mergeCell ref="V39:Y39"/>
    <mergeCell ref="J20:M20"/>
    <mergeCell ref="N20:Q20"/>
    <mergeCell ref="R20:U20"/>
    <mergeCell ref="V20:Y20"/>
    <mergeCell ref="J21:M21"/>
    <mergeCell ref="N21:Q21"/>
    <mergeCell ref="R21:U21"/>
    <mergeCell ref="V21:Y21"/>
    <mergeCell ref="B3:E3"/>
    <mergeCell ref="F3:I3"/>
    <mergeCell ref="J3:M3"/>
    <mergeCell ref="N3:Q3"/>
    <mergeCell ref="R3:U3"/>
    <mergeCell ref="V3:Y3"/>
    <mergeCell ref="B2:E2"/>
    <mergeCell ref="F2:I2"/>
    <mergeCell ref="J2:M2"/>
    <mergeCell ref="N2:Q2"/>
    <mergeCell ref="R2:U2"/>
    <mergeCell ref="V2:Y2"/>
  </mergeCells>
  <phoneticPr fontId="1"/>
  <conditionalFormatting sqref="B71:E71 F53:Y53 B17:AA17 J35:Y35">
    <cfRule type="cellIs" dxfId="3" priority="1" operator="equal">
      <formula>"男"</formula>
    </cfRule>
    <cfRule type="cellIs" dxfId="2" priority="2" operator="equal">
      <formula>"女"</formula>
    </cfRule>
  </conditionalFormatting>
  <dataValidations count="1">
    <dataValidation type="list" allowBlank="1" showInputMessage="1" showErrorMessage="1" sqref="B12:AA15 B7:AA10 F48:Y51 B66:E69 F43:Y46 B61:E64 R30:Y33 J30:Q33 R25:Y28 J25:Q28" xr:uid="{E4111FF5-366A-40DD-9F8B-E96529A3947A}">
      <formula1>"〇,×"</formula1>
    </dataValidation>
  </dataValidations>
  <pageMargins left="0.25" right="0.25" top="0.75" bottom="0.75" header="0.3" footer="0.3"/>
  <pageSetup paperSize="9" scale="34" orientation="portrait" r:id="rId1"/>
  <headerFooter>
    <oddHeader>&amp;C&amp;"BIZ UDPゴシック,標準"&amp;36令和4年度（2022年度） 東尾張エリア弓道大会　立順表</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316C8-CAAB-4A3A-8978-311A3D42C80C}">
  <sheetPr>
    <pageSetUpPr fitToPage="1"/>
  </sheetPr>
  <dimension ref="B2:AI72"/>
  <sheetViews>
    <sheetView view="pageBreakPreview" topLeftCell="L19" zoomScaleNormal="38" zoomScaleSheetLayoutView="100" zoomScalePageLayoutView="70" workbookViewId="0">
      <selection activeCell="AA2" activeCellId="2" sqref="F38:I54 AA20:AA36 AA2:AA18"/>
    </sheetView>
  </sheetViews>
  <sheetFormatPr defaultColWidth="3.58203125" defaultRowHeight="32.5" x14ac:dyDescent="0.55000000000000004"/>
  <cols>
    <col min="1" max="1" width="3.58203125" style="79"/>
    <col min="2" max="25" width="9.6640625" style="79" customWidth="1"/>
    <col min="26" max="26" width="19.5" style="234" bestFit="1" customWidth="1"/>
    <col min="27" max="27" width="8.4140625" style="79" customWidth="1"/>
    <col min="28" max="31" width="8.08203125" style="79" customWidth="1"/>
    <col min="32" max="35" width="5.1640625" style="79" customWidth="1"/>
    <col min="36" max="16384" width="3.58203125" style="79"/>
  </cols>
  <sheetData>
    <row r="2" spans="2:27" ht="38.5" x14ac:dyDescent="0.55000000000000004">
      <c r="B2" s="269" t="str">
        <f>選手!B22</f>
        <v>日進B</v>
      </c>
      <c r="C2" s="227"/>
      <c r="D2" s="227"/>
      <c r="E2" s="230"/>
      <c r="F2" s="227" t="str">
        <f>選手!B18</f>
        <v>日進A</v>
      </c>
      <c r="G2" s="227"/>
      <c r="H2" s="227"/>
      <c r="I2" s="227"/>
      <c r="J2" s="229" t="str">
        <f>選手!B14</f>
        <v>豊明B</v>
      </c>
      <c r="K2" s="227"/>
      <c r="L2" s="227"/>
      <c r="M2" s="230"/>
      <c r="N2" s="227" t="str">
        <f>選手!B10</f>
        <v>豊明A</v>
      </c>
      <c r="O2" s="227"/>
      <c r="P2" s="227"/>
      <c r="Q2" s="227"/>
      <c r="R2" s="229" t="str">
        <f>選手!B6</f>
        <v>春日井B</v>
      </c>
      <c r="S2" s="227"/>
      <c r="T2" s="227"/>
      <c r="U2" s="230"/>
      <c r="V2" s="227" t="str">
        <f>選手!B2</f>
        <v>春日井A</v>
      </c>
      <c r="W2" s="227"/>
      <c r="X2" s="227"/>
      <c r="Y2" s="228"/>
      <c r="Z2" s="231" t="s">
        <v>2</v>
      </c>
      <c r="AA2" s="235" t="s">
        <v>130</v>
      </c>
    </row>
    <row r="3" spans="2:27" hidden="1" x14ac:dyDescent="0.55000000000000004">
      <c r="B3" s="175">
        <f t="shared" ref="B3" si="0">SUM(B5:E5)</f>
        <v>0</v>
      </c>
      <c r="C3" s="175"/>
      <c r="D3" s="175"/>
      <c r="E3" s="177"/>
      <c r="F3" s="174">
        <f t="shared" ref="F3" si="1">SUM(F5:I5)</f>
        <v>0</v>
      </c>
      <c r="G3" s="175"/>
      <c r="H3" s="175"/>
      <c r="I3" s="178"/>
      <c r="J3" s="176">
        <f t="shared" ref="J3" si="2">SUM(J5:M5)</f>
        <v>0</v>
      </c>
      <c r="K3" s="175"/>
      <c r="L3" s="175"/>
      <c r="M3" s="177"/>
      <c r="N3" s="174">
        <f t="shared" ref="N3" si="3">SUM(N5:Q5)</f>
        <v>0</v>
      </c>
      <c r="O3" s="175"/>
      <c r="P3" s="175"/>
      <c r="Q3" s="178"/>
      <c r="R3" s="176">
        <f t="shared" ref="R3" si="4">SUM(R5:U5)</f>
        <v>0</v>
      </c>
      <c r="S3" s="175"/>
      <c r="T3" s="175"/>
      <c r="U3" s="177"/>
      <c r="V3" s="174">
        <f t="shared" ref="V3" si="5">SUM(V5:Y5)</f>
        <v>0</v>
      </c>
      <c r="W3" s="175"/>
      <c r="X3" s="175"/>
      <c r="Y3" s="175"/>
      <c r="Z3" s="231" t="s">
        <v>3</v>
      </c>
      <c r="AA3" s="236"/>
    </row>
    <row r="4" spans="2:27" hidden="1" x14ac:dyDescent="0.55000000000000004">
      <c r="B4" s="80">
        <f>B5+0.1+(IF(B15="〇",1,0)*0.01)+(IF(B14="〇",1,0)*0.001)+(IF(B13="〇",1,0)*0.0001)+(IF(B12="〇",1,0)*0.00001)+(IF(B10="〇",1,0)*0.000001)+(IF(B9="〇",1,0)*0.0000001)+(IF(B8="〇",1,0)*0.00000001)+(IF(B7="〇",1,0)*0.000000001)</f>
        <v>0.1</v>
      </c>
      <c r="C4" s="80">
        <f>C5+0.1+(IF(C15="〇",1,0)*0.01)+(IF(C14="〇",1,0)*0.001)+(IF(C13="〇",1,0)*0.0001)+(IF(C12="〇",1,0)*0.00001)+(IF(C10="〇",1,0)*0.000001)+(IF(C9="〇",1,0)*0.0000001)+(IF(C8="〇",1,0)*0.00000001)+(IF(C7="〇",1,0)*0.000000001)</f>
        <v>0.1</v>
      </c>
      <c r="D4" s="80">
        <f>D5+0.1+(IF(D15="〇",1,0)*0.01)+(IF(D14="〇",1,0)*0.001)+(IF(D13="〇",1,0)*0.0001)+(IF(D12="〇",1,0)*0.00001)+(IF(D10="〇",1,0)*0.000001)+(IF(D9="〇",1,0)*0.0000001)+(IF(D8="〇",1,0)*0.00000001)+(IF(D7="〇",1,0)*0.000000001)</f>
        <v>0.1</v>
      </c>
      <c r="E4" s="83">
        <f>E5+0.1+(IF(E15="〇",1,0)*0.01)+(IF(E14="〇",1,0)*0.001)+(IF(E13="〇",1,0)*0.0001)+(IF(E12="〇",1,0)*0.00001)+(IF(E10="〇",1,0)*0.000001)+(IF(E9="〇",1,0)*0.0000001)+(IF(E8="〇",1,0)*0.00000001)+(IF(E7="〇",1,0)*0.000000001)</f>
        <v>0.1</v>
      </c>
      <c r="F4" s="84">
        <f t="shared" ref="F4:Y4" si="6">F5+0.1+(IF(F15="〇",1,0)*0.01)+(IF(F14="〇",1,0)*0.001)+(IF(F13="〇",1,0)*0.0001)+(IF(F12="〇",1,0)*0.00001)+(IF(F10="〇",1,0)*0.000001)+(IF(F9="〇",1,0)*0.0000001)+(IF(F8="〇",1,0)*0.00000001)+(IF(F7="〇",1,0)*0.000000001)</f>
        <v>0.1</v>
      </c>
      <c r="G4" s="80">
        <f t="shared" si="6"/>
        <v>0.1</v>
      </c>
      <c r="H4" s="80">
        <f t="shared" si="6"/>
        <v>0.1</v>
      </c>
      <c r="I4" s="81">
        <f t="shared" si="6"/>
        <v>0.1</v>
      </c>
      <c r="J4" s="82">
        <f t="shared" si="6"/>
        <v>0.1</v>
      </c>
      <c r="K4" s="80">
        <f t="shared" si="6"/>
        <v>0.1</v>
      </c>
      <c r="L4" s="80">
        <f t="shared" si="6"/>
        <v>0.1</v>
      </c>
      <c r="M4" s="83">
        <f t="shared" si="6"/>
        <v>0.1</v>
      </c>
      <c r="N4" s="84">
        <f t="shared" si="6"/>
        <v>0.1</v>
      </c>
      <c r="O4" s="80">
        <f t="shared" si="6"/>
        <v>0.1</v>
      </c>
      <c r="P4" s="80">
        <f t="shared" si="6"/>
        <v>0.1</v>
      </c>
      <c r="Q4" s="81">
        <f t="shared" si="6"/>
        <v>0.1</v>
      </c>
      <c r="R4" s="82">
        <f t="shared" si="6"/>
        <v>0.1</v>
      </c>
      <c r="S4" s="80">
        <f t="shared" si="6"/>
        <v>0.1</v>
      </c>
      <c r="T4" s="80">
        <f t="shared" si="6"/>
        <v>0.1</v>
      </c>
      <c r="U4" s="83">
        <f t="shared" si="6"/>
        <v>0.1</v>
      </c>
      <c r="V4" s="84">
        <f t="shared" si="6"/>
        <v>0.1</v>
      </c>
      <c r="W4" s="80">
        <f t="shared" si="6"/>
        <v>0.1</v>
      </c>
      <c r="X4" s="80">
        <f t="shared" si="6"/>
        <v>0.1</v>
      </c>
      <c r="Y4" s="80">
        <f t="shared" si="6"/>
        <v>0.1</v>
      </c>
      <c r="Z4" s="231" t="s">
        <v>32</v>
      </c>
      <c r="AA4" s="236"/>
    </row>
    <row r="5" spans="2:27" hidden="1" x14ac:dyDescent="0.55000000000000004">
      <c r="B5" s="85">
        <f>B6+B11</f>
        <v>0</v>
      </c>
      <c r="C5" s="85">
        <f>C6+C11</f>
        <v>0</v>
      </c>
      <c r="D5" s="85">
        <f>D6+D11</f>
        <v>0</v>
      </c>
      <c r="E5" s="88">
        <f>E6+E11</f>
        <v>0</v>
      </c>
      <c r="F5" s="89">
        <f t="shared" ref="F5:Y5" si="7">F6+F11</f>
        <v>0</v>
      </c>
      <c r="G5" s="85">
        <f t="shared" si="7"/>
        <v>0</v>
      </c>
      <c r="H5" s="85">
        <f t="shared" si="7"/>
        <v>0</v>
      </c>
      <c r="I5" s="86">
        <f t="shared" si="7"/>
        <v>0</v>
      </c>
      <c r="J5" s="87">
        <f t="shared" si="7"/>
        <v>0</v>
      </c>
      <c r="K5" s="85">
        <f t="shared" si="7"/>
        <v>0</v>
      </c>
      <c r="L5" s="85">
        <f t="shared" si="7"/>
        <v>0</v>
      </c>
      <c r="M5" s="88">
        <f t="shared" si="7"/>
        <v>0</v>
      </c>
      <c r="N5" s="89">
        <f t="shared" si="7"/>
        <v>0</v>
      </c>
      <c r="O5" s="85">
        <f t="shared" si="7"/>
        <v>0</v>
      </c>
      <c r="P5" s="85">
        <f t="shared" si="7"/>
        <v>0</v>
      </c>
      <c r="Q5" s="86">
        <f t="shared" si="7"/>
        <v>0</v>
      </c>
      <c r="R5" s="87">
        <f t="shared" si="7"/>
        <v>0</v>
      </c>
      <c r="S5" s="85">
        <f t="shared" si="7"/>
        <v>0</v>
      </c>
      <c r="T5" s="85">
        <f t="shared" si="7"/>
        <v>0</v>
      </c>
      <c r="U5" s="88">
        <f t="shared" si="7"/>
        <v>0</v>
      </c>
      <c r="V5" s="89">
        <f t="shared" si="7"/>
        <v>0</v>
      </c>
      <c r="W5" s="85">
        <f t="shared" si="7"/>
        <v>0</v>
      </c>
      <c r="X5" s="85">
        <f t="shared" si="7"/>
        <v>0</v>
      </c>
      <c r="Y5" s="85">
        <f t="shared" si="7"/>
        <v>0</v>
      </c>
      <c r="Z5" s="231" t="s">
        <v>4</v>
      </c>
      <c r="AA5" s="236"/>
    </row>
    <row r="6" spans="2:27" hidden="1" x14ac:dyDescent="0.55000000000000004">
      <c r="B6" s="90">
        <f t="shared" ref="B6:X6" si="8">COUNTIF(B7:B10,"〇")</f>
        <v>0</v>
      </c>
      <c r="C6" s="90">
        <f t="shared" si="8"/>
        <v>0</v>
      </c>
      <c r="D6" s="90">
        <f t="shared" si="8"/>
        <v>0</v>
      </c>
      <c r="E6" s="93">
        <f t="shared" si="8"/>
        <v>0</v>
      </c>
      <c r="F6" s="94">
        <f t="shared" si="8"/>
        <v>0</v>
      </c>
      <c r="G6" s="90">
        <f t="shared" si="8"/>
        <v>0</v>
      </c>
      <c r="H6" s="90">
        <f t="shared" si="8"/>
        <v>0</v>
      </c>
      <c r="I6" s="91">
        <f t="shared" si="8"/>
        <v>0</v>
      </c>
      <c r="J6" s="92">
        <f t="shared" si="8"/>
        <v>0</v>
      </c>
      <c r="K6" s="90">
        <f t="shared" si="8"/>
        <v>0</v>
      </c>
      <c r="L6" s="90">
        <f t="shared" si="8"/>
        <v>0</v>
      </c>
      <c r="M6" s="93">
        <f t="shared" si="8"/>
        <v>0</v>
      </c>
      <c r="N6" s="94">
        <f t="shared" si="8"/>
        <v>0</v>
      </c>
      <c r="O6" s="90">
        <f t="shared" si="8"/>
        <v>0</v>
      </c>
      <c r="P6" s="90">
        <f t="shared" si="8"/>
        <v>0</v>
      </c>
      <c r="Q6" s="91">
        <f t="shared" si="8"/>
        <v>0</v>
      </c>
      <c r="R6" s="92">
        <f t="shared" si="8"/>
        <v>0</v>
      </c>
      <c r="S6" s="90">
        <f t="shared" si="8"/>
        <v>0</v>
      </c>
      <c r="T6" s="90">
        <f t="shared" si="8"/>
        <v>0</v>
      </c>
      <c r="U6" s="93">
        <f t="shared" si="8"/>
        <v>0</v>
      </c>
      <c r="V6" s="94">
        <f t="shared" si="8"/>
        <v>0</v>
      </c>
      <c r="W6" s="90">
        <f t="shared" si="8"/>
        <v>0</v>
      </c>
      <c r="X6" s="90">
        <f t="shared" si="8"/>
        <v>0</v>
      </c>
      <c r="Y6" s="90">
        <f>COUNTIF(Y7:Y10,"〇")</f>
        <v>0</v>
      </c>
      <c r="Z6" s="231" t="s">
        <v>21</v>
      </c>
      <c r="AA6" s="236"/>
    </row>
    <row r="7" spans="2:27" hidden="1" x14ac:dyDescent="0.55000000000000004">
      <c r="B7" s="95"/>
      <c r="C7" s="95"/>
      <c r="D7" s="95"/>
      <c r="E7" s="98"/>
      <c r="F7" s="99"/>
      <c r="G7" s="95"/>
      <c r="H7" s="95"/>
      <c r="I7" s="96"/>
      <c r="J7" s="97"/>
      <c r="K7" s="95"/>
      <c r="L7" s="95"/>
      <c r="M7" s="98"/>
      <c r="N7" s="99"/>
      <c r="O7" s="95"/>
      <c r="P7" s="95"/>
      <c r="Q7" s="96"/>
      <c r="R7" s="97"/>
      <c r="S7" s="95"/>
      <c r="T7" s="95"/>
      <c r="U7" s="98"/>
      <c r="V7" s="99"/>
      <c r="W7" s="95"/>
      <c r="X7" s="95"/>
      <c r="Y7" s="95"/>
      <c r="Z7" s="231" t="s">
        <v>22</v>
      </c>
      <c r="AA7" s="236"/>
    </row>
    <row r="8" spans="2:27" hidden="1" x14ac:dyDescent="0.55000000000000004">
      <c r="B8" s="95"/>
      <c r="C8" s="95"/>
      <c r="D8" s="95"/>
      <c r="E8" s="98"/>
      <c r="F8" s="99"/>
      <c r="G8" s="95"/>
      <c r="H8" s="95"/>
      <c r="I8" s="96"/>
      <c r="J8" s="97"/>
      <c r="K8" s="95"/>
      <c r="L8" s="95"/>
      <c r="M8" s="98"/>
      <c r="N8" s="99"/>
      <c r="O8" s="95"/>
      <c r="P8" s="95"/>
      <c r="Q8" s="96"/>
      <c r="R8" s="97"/>
      <c r="S8" s="95"/>
      <c r="T8" s="95"/>
      <c r="U8" s="98"/>
      <c r="V8" s="99"/>
      <c r="W8" s="95"/>
      <c r="X8" s="95"/>
      <c r="Y8" s="95"/>
      <c r="Z8" s="231" t="s">
        <v>24</v>
      </c>
      <c r="AA8" s="236"/>
    </row>
    <row r="9" spans="2:27" hidden="1" x14ac:dyDescent="0.55000000000000004">
      <c r="B9" s="95"/>
      <c r="C9" s="95"/>
      <c r="D9" s="95"/>
      <c r="E9" s="98"/>
      <c r="F9" s="99"/>
      <c r="G9" s="95"/>
      <c r="H9" s="95"/>
      <c r="I9" s="96"/>
      <c r="J9" s="97"/>
      <c r="K9" s="95"/>
      <c r="L9" s="95"/>
      <c r="M9" s="98"/>
      <c r="N9" s="99"/>
      <c r="O9" s="95"/>
      <c r="P9" s="95"/>
      <c r="Q9" s="96"/>
      <c r="R9" s="97"/>
      <c r="S9" s="95"/>
      <c r="T9" s="95"/>
      <c r="U9" s="98"/>
      <c r="V9" s="99"/>
      <c r="W9" s="95"/>
      <c r="X9" s="95"/>
      <c r="Y9" s="95"/>
      <c r="Z9" s="231" t="s">
        <v>26</v>
      </c>
      <c r="AA9" s="236"/>
    </row>
    <row r="10" spans="2:27" hidden="1" x14ac:dyDescent="0.55000000000000004">
      <c r="B10" s="95"/>
      <c r="C10" s="95"/>
      <c r="D10" s="95"/>
      <c r="E10" s="98"/>
      <c r="F10" s="99"/>
      <c r="G10" s="95"/>
      <c r="H10" s="95"/>
      <c r="I10" s="96"/>
      <c r="J10" s="97"/>
      <c r="K10" s="95"/>
      <c r="L10" s="95"/>
      <c r="M10" s="98"/>
      <c r="N10" s="99"/>
      <c r="O10" s="95"/>
      <c r="P10" s="95"/>
      <c r="Q10" s="96"/>
      <c r="R10" s="97"/>
      <c r="S10" s="95"/>
      <c r="T10" s="95"/>
      <c r="U10" s="98"/>
      <c r="V10" s="99"/>
      <c r="W10" s="95"/>
      <c r="X10" s="95"/>
      <c r="Y10" s="95"/>
      <c r="Z10" s="231" t="s">
        <v>28</v>
      </c>
      <c r="AA10" s="236"/>
    </row>
    <row r="11" spans="2:27" hidden="1" x14ac:dyDescent="0.55000000000000004">
      <c r="B11" s="90">
        <f>COUNTIF(B12:B15,"〇")</f>
        <v>0</v>
      </c>
      <c r="C11" s="90">
        <f>COUNTIF(C12:C15,"〇")</f>
        <v>0</v>
      </c>
      <c r="D11" s="90">
        <f>COUNTIF(D12:D15,"〇")</f>
        <v>0</v>
      </c>
      <c r="E11" s="93">
        <f>COUNTIF(E12:E15,"〇")</f>
        <v>0</v>
      </c>
      <c r="F11" s="94">
        <f t="shared" ref="F11:Y11" si="9">COUNTIF(F12:F15,"〇")</f>
        <v>0</v>
      </c>
      <c r="G11" s="90">
        <f t="shared" si="9"/>
        <v>0</v>
      </c>
      <c r="H11" s="90">
        <f t="shared" si="9"/>
        <v>0</v>
      </c>
      <c r="I11" s="91">
        <f t="shared" si="9"/>
        <v>0</v>
      </c>
      <c r="J11" s="92">
        <f t="shared" si="9"/>
        <v>0</v>
      </c>
      <c r="K11" s="90">
        <f t="shared" si="9"/>
        <v>0</v>
      </c>
      <c r="L11" s="90">
        <f t="shared" si="9"/>
        <v>0</v>
      </c>
      <c r="M11" s="93">
        <f t="shared" si="9"/>
        <v>0</v>
      </c>
      <c r="N11" s="94">
        <f t="shared" si="9"/>
        <v>0</v>
      </c>
      <c r="O11" s="90">
        <f t="shared" si="9"/>
        <v>0</v>
      </c>
      <c r="P11" s="90">
        <f t="shared" si="9"/>
        <v>0</v>
      </c>
      <c r="Q11" s="91">
        <f t="shared" si="9"/>
        <v>0</v>
      </c>
      <c r="R11" s="92">
        <f t="shared" si="9"/>
        <v>0</v>
      </c>
      <c r="S11" s="90">
        <f t="shared" si="9"/>
        <v>0</v>
      </c>
      <c r="T11" s="90">
        <f t="shared" si="9"/>
        <v>0</v>
      </c>
      <c r="U11" s="93">
        <f t="shared" si="9"/>
        <v>0</v>
      </c>
      <c r="V11" s="94">
        <f t="shared" si="9"/>
        <v>0</v>
      </c>
      <c r="W11" s="90">
        <f t="shared" si="9"/>
        <v>0</v>
      </c>
      <c r="X11" s="90">
        <f t="shared" si="9"/>
        <v>0</v>
      </c>
      <c r="Y11" s="90">
        <f t="shared" si="9"/>
        <v>0</v>
      </c>
      <c r="Z11" s="231" t="s">
        <v>20</v>
      </c>
      <c r="AA11" s="236"/>
    </row>
    <row r="12" spans="2:27" hidden="1" x14ac:dyDescent="0.55000000000000004">
      <c r="B12" s="213"/>
      <c r="C12" s="213"/>
      <c r="D12" s="213"/>
      <c r="E12" s="216"/>
      <c r="F12" s="212"/>
      <c r="G12" s="213"/>
      <c r="H12" s="213"/>
      <c r="I12" s="214"/>
      <c r="J12" s="215"/>
      <c r="K12" s="213"/>
      <c r="L12" s="213"/>
      <c r="M12" s="216"/>
      <c r="N12" s="212"/>
      <c r="O12" s="213"/>
      <c r="P12" s="213"/>
      <c r="Q12" s="214"/>
      <c r="R12" s="215"/>
      <c r="S12" s="213"/>
      <c r="T12" s="213"/>
      <c r="U12" s="216"/>
      <c r="V12" s="212"/>
      <c r="W12" s="213"/>
      <c r="X12" s="213"/>
      <c r="Y12" s="213"/>
      <c r="Z12" s="231" t="s">
        <v>22</v>
      </c>
      <c r="AA12" s="236"/>
    </row>
    <row r="13" spans="2:27" hidden="1" x14ac:dyDescent="0.55000000000000004">
      <c r="B13" s="218"/>
      <c r="C13" s="218"/>
      <c r="D13" s="218"/>
      <c r="E13" s="221"/>
      <c r="F13" s="217"/>
      <c r="G13" s="218"/>
      <c r="H13" s="218"/>
      <c r="I13" s="219"/>
      <c r="J13" s="220"/>
      <c r="K13" s="218"/>
      <c r="L13" s="218"/>
      <c r="M13" s="221"/>
      <c r="N13" s="217"/>
      <c r="O13" s="218"/>
      <c r="P13" s="218"/>
      <c r="Q13" s="219"/>
      <c r="R13" s="220"/>
      <c r="S13" s="218"/>
      <c r="T13" s="218"/>
      <c r="U13" s="221"/>
      <c r="V13" s="217"/>
      <c r="W13" s="218"/>
      <c r="X13" s="218"/>
      <c r="Y13" s="218"/>
      <c r="Z13" s="231" t="s">
        <v>24</v>
      </c>
      <c r="AA13" s="236"/>
    </row>
    <row r="14" spans="2:27" hidden="1" x14ac:dyDescent="0.55000000000000004">
      <c r="B14" s="218"/>
      <c r="C14" s="218"/>
      <c r="D14" s="218"/>
      <c r="E14" s="221"/>
      <c r="F14" s="217"/>
      <c r="G14" s="218"/>
      <c r="H14" s="218"/>
      <c r="I14" s="219"/>
      <c r="J14" s="220"/>
      <c r="K14" s="218"/>
      <c r="L14" s="218"/>
      <c r="M14" s="221"/>
      <c r="N14" s="217"/>
      <c r="O14" s="218"/>
      <c r="P14" s="218"/>
      <c r="Q14" s="219"/>
      <c r="R14" s="220"/>
      <c r="S14" s="218"/>
      <c r="T14" s="218"/>
      <c r="U14" s="221"/>
      <c r="V14" s="217"/>
      <c r="W14" s="218"/>
      <c r="X14" s="218"/>
      <c r="Y14" s="218"/>
      <c r="Z14" s="231" t="s">
        <v>26</v>
      </c>
      <c r="AA14" s="236"/>
    </row>
    <row r="15" spans="2:27" ht="33" hidden="1" thickBot="1" x14ac:dyDescent="0.6">
      <c r="B15" s="223"/>
      <c r="C15" s="223"/>
      <c r="D15" s="223"/>
      <c r="E15" s="226"/>
      <c r="F15" s="222"/>
      <c r="G15" s="223"/>
      <c r="H15" s="223"/>
      <c r="I15" s="224"/>
      <c r="J15" s="225"/>
      <c r="K15" s="223"/>
      <c r="L15" s="223"/>
      <c r="M15" s="226"/>
      <c r="N15" s="222"/>
      <c r="O15" s="223"/>
      <c r="P15" s="223"/>
      <c r="Q15" s="224"/>
      <c r="R15" s="225"/>
      <c r="S15" s="223"/>
      <c r="T15" s="223"/>
      <c r="U15" s="226"/>
      <c r="V15" s="222"/>
      <c r="W15" s="223"/>
      <c r="X15" s="223"/>
      <c r="Y15" s="223"/>
      <c r="Z15" s="232" t="s">
        <v>28</v>
      </c>
      <c r="AA15" s="236"/>
    </row>
    <row r="16" spans="2:27" x14ac:dyDescent="0.55000000000000004">
      <c r="B16" s="105">
        <f>IF(選手!C25&lt;&gt;"",選手!C25,"")</f>
        <v>24</v>
      </c>
      <c r="C16" s="105">
        <f>IF(選手!C24&lt;&gt;"",選手!C24,"")</f>
        <v>23</v>
      </c>
      <c r="D16" s="105">
        <f>IF(選手!C23&lt;&gt;"",選手!C23,"")</f>
        <v>22</v>
      </c>
      <c r="E16" s="108">
        <f>IF(選手!C22&lt;&gt;"",選手!C22,"")</f>
        <v>21</v>
      </c>
      <c r="F16" s="109">
        <f>IF(選手!C21&lt;&gt;"",選手!C21,"")</f>
        <v>20</v>
      </c>
      <c r="G16" s="105">
        <f>IF(選手!C20&lt;&gt;"",選手!C20,"")</f>
        <v>19</v>
      </c>
      <c r="H16" s="105">
        <f>IF(選手!C19&lt;&gt;"",選手!C19,"")</f>
        <v>18</v>
      </c>
      <c r="I16" s="106">
        <f>IF(選手!C18&lt;&gt;"",選手!C18,"")</f>
        <v>17</v>
      </c>
      <c r="J16" s="107">
        <f>IF(選手!C17&lt;&gt;"",選手!C17,"")</f>
        <v>16</v>
      </c>
      <c r="K16" s="105">
        <f>IF(選手!C16&lt;&gt;"",選手!C16,"")</f>
        <v>15</v>
      </c>
      <c r="L16" s="105">
        <f>IF(選手!C15&lt;&gt;"",選手!C15,"")</f>
        <v>14</v>
      </c>
      <c r="M16" s="108">
        <f>IF(選手!C14&lt;&gt;"",選手!C14,"")</f>
        <v>13</v>
      </c>
      <c r="N16" s="109">
        <f>IF(選手!C13&lt;&gt;"",選手!C13,"")</f>
        <v>12</v>
      </c>
      <c r="O16" s="105">
        <f>IF(選手!C12&lt;&gt;"",選手!C12,"")</f>
        <v>11</v>
      </c>
      <c r="P16" s="105">
        <f>IF(選手!C11&lt;&gt;"",選手!C11,"")</f>
        <v>10</v>
      </c>
      <c r="Q16" s="106">
        <f>IF(選手!C10&lt;&gt;"",選手!C10,"")</f>
        <v>9</v>
      </c>
      <c r="R16" s="107">
        <f>IF(選手!C9&lt;&gt;"",選手!C9,"")</f>
        <v>8</v>
      </c>
      <c r="S16" s="105">
        <f>IF(選手!C8&lt;&gt;"",選手!C8,"")</f>
        <v>7</v>
      </c>
      <c r="T16" s="105">
        <f>IF(選手!C7&lt;&gt;"",選手!C7,"")</f>
        <v>6</v>
      </c>
      <c r="U16" s="108">
        <f>IF(選手!C6&lt;&gt;"",選手!C6,"")</f>
        <v>5</v>
      </c>
      <c r="V16" s="109">
        <f>IF(選手!C5&lt;&gt;"",選手!C5,"")</f>
        <v>4</v>
      </c>
      <c r="W16" s="105">
        <f>IF(選手!C4&lt;&gt;"",選手!C4,"")</f>
        <v>3</v>
      </c>
      <c r="X16" s="105">
        <f>IF(選手!C3&lt;&gt;"",選手!C3,"")</f>
        <v>2</v>
      </c>
      <c r="Y16" s="105">
        <f>IF(選手!C2&lt;&gt;"",選手!C2,"")</f>
        <v>1</v>
      </c>
      <c r="Z16" s="233" t="s">
        <v>18</v>
      </c>
      <c r="AA16" s="236"/>
    </row>
    <row r="17" spans="2:35" x14ac:dyDescent="0.55000000000000004">
      <c r="B17" s="110" t="str">
        <f>IF(選手!E25&lt;&gt;"",選手!E25,"")</f>
        <v>女</v>
      </c>
      <c r="C17" s="110" t="str">
        <f>IF(選手!E24&lt;&gt;"",選手!E24,"")</f>
        <v>女</v>
      </c>
      <c r="D17" s="110" t="str">
        <f>IF(選手!E23&lt;&gt;"",選手!E23,"")</f>
        <v>女</v>
      </c>
      <c r="E17" s="113" t="str">
        <f>IF(選手!E22&lt;&gt;"",選手!E22,"")</f>
        <v>女</v>
      </c>
      <c r="F17" s="114" t="str">
        <f>IF(選手!E21&lt;&gt;"",選手!E21,"")</f>
        <v>男</v>
      </c>
      <c r="G17" s="110" t="str">
        <f>IF(選手!E20&lt;&gt;"",選手!E20,"")</f>
        <v>男</v>
      </c>
      <c r="H17" s="110" t="str">
        <f>IF(選手!E19&lt;&gt;"",選手!E19,"")</f>
        <v>男</v>
      </c>
      <c r="I17" s="111" t="str">
        <f>IF(選手!E18&lt;&gt;"",選手!E18,"")</f>
        <v>男</v>
      </c>
      <c r="J17" s="112" t="str">
        <f>IF(選手!E17&lt;&gt;"",選手!E17,"")</f>
        <v>女</v>
      </c>
      <c r="K17" s="110" t="str">
        <f>IF(選手!E16&lt;&gt;"",選手!E16,"")</f>
        <v>女</v>
      </c>
      <c r="L17" s="110" t="str">
        <f>IF(選手!E15&lt;&gt;"",選手!E15,"")</f>
        <v>女</v>
      </c>
      <c r="M17" s="113" t="str">
        <f>IF(選手!E14&lt;&gt;"",選手!E14,"")</f>
        <v>女</v>
      </c>
      <c r="N17" s="114" t="str">
        <f>IF(選手!E13&lt;&gt;"",選手!E13,"")</f>
        <v>男</v>
      </c>
      <c r="O17" s="110" t="str">
        <f>IF(選手!E12&lt;&gt;"",選手!E12,"")</f>
        <v>男</v>
      </c>
      <c r="P17" s="110" t="str">
        <f>IF(選手!E11&lt;&gt;"",選手!E11,"")</f>
        <v>男</v>
      </c>
      <c r="Q17" s="111" t="str">
        <f>IF(選手!E10&lt;&gt;"",選手!E10,"")</f>
        <v>男</v>
      </c>
      <c r="R17" s="112" t="str">
        <f>IF(選手!E9&lt;&gt;"",選手!E9,"")</f>
        <v>女</v>
      </c>
      <c r="S17" s="110" t="str">
        <f>IF(選手!E8&lt;&gt;"",選手!E8,"")</f>
        <v>女</v>
      </c>
      <c r="T17" s="110" t="str">
        <f>IF(選手!E7&lt;&gt;"",選手!E7,"")</f>
        <v>女</v>
      </c>
      <c r="U17" s="113" t="str">
        <f>IF(選手!E6&lt;&gt;"",選手!E6,"")</f>
        <v>女</v>
      </c>
      <c r="V17" s="114" t="str">
        <f>IF(選手!E5&lt;&gt;"",選手!E5,"")</f>
        <v>男</v>
      </c>
      <c r="W17" s="110" t="str">
        <f>IF(選手!E4&lt;&gt;"",選手!E4,"")</f>
        <v>男</v>
      </c>
      <c r="X17" s="110" t="str">
        <f>IF(選手!E3&lt;&gt;"",選手!E3,"")</f>
        <v>男</v>
      </c>
      <c r="Y17" s="110" t="str">
        <f>IF(選手!E2&lt;&gt;"",選手!E2,"")</f>
        <v>男</v>
      </c>
      <c r="Z17" s="231" t="s">
        <v>1</v>
      </c>
      <c r="AA17" s="236"/>
    </row>
    <row r="18" spans="2:35" ht="190" customHeight="1" x14ac:dyDescent="0.55000000000000004">
      <c r="B18" s="116" t="str">
        <f>IF(選手!D25&lt;&gt;"",選手!D25,"")</f>
        <v>谷口 洋子</v>
      </c>
      <c r="C18" s="116" t="str">
        <f>IF(選手!D24&lt;&gt;"",選手!D24,"")</f>
        <v>入江 美讃</v>
      </c>
      <c r="D18" s="116" t="str">
        <f>IF(選手!D23&lt;&gt;"",選手!D23,"")</f>
        <v>越後 奈緒美</v>
      </c>
      <c r="E18" s="119" t="str">
        <f>IF(選手!D22&lt;&gt;"",選手!D22,"")</f>
        <v>後藤 徳子</v>
      </c>
      <c r="F18" s="120" t="str">
        <f>IF(選手!D21&lt;&gt;"",選手!D21,"")</f>
        <v>志手 俊二</v>
      </c>
      <c r="G18" s="116" t="str">
        <f>IF(選手!D20&lt;&gt;"",選手!D20,"")</f>
        <v>谷田 直樹</v>
      </c>
      <c r="H18" s="116" t="str">
        <f>IF(選手!D19&lt;&gt;"",選手!D19,"")</f>
        <v>笠井 大督</v>
      </c>
      <c r="I18" s="117" t="str">
        <f>IF(選手!D18&lt;&gt;"",選手!D18,"")</f>
        <v>新美 友治</v>
      </c>
      <c r="J18" s="118" t="str">
        <f>IF(選手!D17&lt;&gt;"",選手!D17,"")</f>
        <v>谷口 祥子</v>
      </c>
      <c r="K18" s="116" t="str">
        <f>IF(選手!D16&lt;&gt;"",選手!D16,"")</f>
        <v>樋田 良子</v>
      </c>
      <c r="L18" s="116" t="str">
        <f>IF(選手!D15&lt;&gt;"",選手!D15,"")</f>
        <v>深見 裕子</v>
      </c>
      <c r="M18" s="119" t="str">
        <f>IF(選手!D14&lt;&gt;"",選手!D14,"")</f>
        <v>堀井 恵美子</v>
      </c>
      <c r="N18" s="120" t="str">
        <f>IF(選手!D13&lt;&gt;"",選手!D13,"")</f>
        <v>榊原 隆一</v>
      </c>
      <c r="O18" s="116" t="str">
        <f>IF(選手!D12&lt;&gt;"",選手!D12,"")</f>
        <v>外山 康彦</v>
      </c>
      <c r="P18" s="116" t="str">
        <f>IF(選手!D11&lt;&gt;"",選手!D11,"")</f>
        <v>近藤 治</v>
      </c>
      <c r="Q18" s="117" t="str">
        <f>IF(選手!D10&lt;&gt;"",選手!D10,"")</f>
        <v>近藤 雄介</v>
      </c>
      <c r="R18" s="118" t="str">
        <f>IF(選手!D9&lt;&gt;"",選手!D9,"")</f>
        <v>伊藤 洋子</v>
      </c>
      <c r="S18" s="116" t="str">
        <f>IF(選手!D8&lt;&gt;"",選手!D8,"")</f>
        <v>片桐 志保</v>
      </c>
      <c r="T18" s="116" t="str">
        <f>IF(選手!D7&lt;&gt;"",選手!D7,"")</f>
        <v>渡會 あすか</v>
      </c>
      <c r="U18" s="119" t="str">
        <f>IF(選手!D6&lt;&gt;"",選手!D6,"")</f>
        <v>佃 弘美</v>
      </c>
      <c r="V18" s="120" t="str">
        <f>IF(選手!D5&lt;&gt;"",選手!D5,"")</f>
        <v>田井 泰</v>
      </c>
      <c r="W18" s="116" t="str">
        <f>IF(選手!D4&lt;&gt;"",選手!D4,"")</f>
        <v>大嶋 啓嗣</v>
      </c>
      <c r="X18" s="116" t="str">
        <f>IF(選手!D3&lt;&gt;"",選手!D3,"")</f>
        <v>伊藤 恭浩</v>
      </c>
      <c r="Y18" s="116" t="str">
        <f>IF(選手!D2&lt;&gt;"",選手!D2,"")</f>
        <v>峯 徹</v>
      </c>
      <c r="Z18" s="115" t="s">
        <v>58</v>
      </c>
      <c r="AA18" s="237"/>
    </row>
    <row r="19" spans="2:35" x14ac:dyDescent="0.55000000000000004">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AB19" s="121"/>
      <c r="AC19" s="121"/>
      <c r="AD19" s="121"/>
      <c r="AE19" s="121"/>
      <c r="AF19" s="121"/>
      <c r="AG19" s="121"/>
      <c r="AH19" s="121"/>
      <c r="AI19" s="121"/>
    </row>
    <row r="20" spans="2:35" ht="38.5" x14ac:dyDescent="0.55000000000000004">
      <c r="J20" s="269" t="str">
        <f>選手!B38</f>
        <v>尾張旭B</v>
      </c>
      <c r="K20" s="227"/>
      <c r="L20" s="227"/>
      <c r="M20" s="227"/>
      <c r="N20" s="229" t="str">
        <f>選手!B34</f>
        <v>尾張旭A</v>
      </c>
      <c r="O20" s="227"/>
      <c r="P20" s="227"/>
      <c r="Q20" s="230"/>
      <c r="R20" s="227" t="str">
        <f>選手!B30</f>
        <v>長久手B</v>
      </c>
      <c r="S20" s="227"/>
      <c r="T20" s="227"/>
      <c r="U20" s="227"/>
      <c r="V20" s="229" t="str">
        <f>選手!B26</f>
        <v>長久手A</v>
      </c>
      <c r="W20" s="227"/>
      <c r="X20" s="227"/>
      <c r="Y20" s="228"/>
      <c r="Z20" s="231" t="s">
        <v>2</v>
      </c>
      <c r="AA20" s="235" t="s">
        <v>131</v>
      </c>
      <c r="AB20" s="121"/>
      <c r="AC20" s="121"/>
      <c r="AD20" s="121"/>
      <c r="AE20" s="121"/>
      <c r="AF20" s="121"/>
      <c r="AG20" s="121"/>
      <c r="AH20" s="121"/>
      <c r="AI20" s="121"/>
    </row>
    <row r="21" spans="2:35" hidden="1" x14ac:dyDescent="0.55000000000000004">
      <c r="J21" s="175">
        <f t="shared" ref="J21" si="10">SUM(J23:M23)</f>
        <v>0</v>
      </c>
      <c r="K21" s="175"/>
      <c r="L21" s="175"/>
      <c r="M21" s="178"/>
      <c r="N21" s="176">
        <f t="shared" ref="N21" si="11">SUM(N23:Q23)</f>
        <v>0</v>
      </c>
      <c r="O21" s="175"/>
      <c r="P21" s="175"/>
      <c r="Q21" s="177"/>
      <c r="R21" s="174">
        <f>SUM(R23:U23)</f>
        <v>0</v>
      </c>
      <c r="S21" s="175"/>
      <c r="T21" s="175"/>
      <c r="U21" s="178"/>
      <c r="V21" s="176">
        <f>SUM(V23:Y23)</f>
        <v>0</v>
      </c>
      <c r="W21" s="175"/>
      <c r="X21" s="175"/>
      <c r="Y21" s="175"/>
      <c r="Z21" s="231" t="s">
        <v>3</v>
      </c>
      <c r="AA21" s="236"/>
      <c r="AB21" s="121"/>
      <c r="AC21" s="121"/>
      <c r="AD21" s="121"/>
      <c r="AE21" s="121"/>
      <c r="AF21" s="121"/>
      <c r="AG21" s="121"/>
      <c r="AH21" s="121"/>
      <c r="AI21" s="121"/>
    </row>
    <row r="22" spans="2:35" hidden="1" x14ac:dyDescent="0.55000000000000004">
      <c r="J22" s="80">
        <f>J23+0.1+(IF(J33="〇",1,0)*0.01)+(IF(J32="〇",1,0)*0.001)+(IF(J31="〇",1,0)*0.0001)+(IF(J30="〇",1,0)*0.00001)+(IF(J28="〇",1,0)*0.000001)+(IF(J27="〇",1,0)*0.0000001)+(IF(J26="〇",1,0)*0.00000001)+(IF(J25="〇",1,0)*0.000000001)</f>
        <v>0.1</v>
      </c>
      <c r="K22" s="80">
        <f>K23+0.1+(IF(K33="〇",1,0)*0.01)+(IF(K32="〇",1,0)*0.001)+(IF(K31="〇",1,0)*0.0001)+(IF(K30="〇",1,0)*0.00001)+(IF(K28="〇",1,0)*0.000001)+(IF(K27="〇",1,0)*0.0000001)+(IF(K26="〇",1,0)*0.00000001)+(IF(K25="〇",1,0)*0.000000001)</f>
        <v>0.1</v>
      </c>
      <c r="L22" s="80">
        <f>L23+0.1+(IF(L33="〇",1,0)*0.01)+(IF(L32="〇",1,0)*0.001)+(IF(L31="〇",1,0)*0.0001)+(IF(L30="〇",1,0)*0.00001)+(IF(L28="〇",1,0)*0.000001)+(IF(L27="〇",1,0)*0.0000001)+(IF(L26="〇",1,0)*0.00000001)+(IF(L25="〇",1,0)*0.000000001)</f>
        <v>0.1</v>
      </c>
      <c r="M22" s="81">
        <f>M23+0.1+(IF(M33="〇",1,0)*0.01)+(IF(M32="〇",1,0)*0.001)+(IF(M31="〇",1,0)*0.0001)+(IF(M30="〇",1,0)*0.00001)+(IF(M28="〇",1,0)*0.000001)+(IF(M27="〇",1,0)*0.0000001)+(IF(M26="〇",1,0)*0.00000001)+(IF(M25="〇",1,0)*0.000000001)</f>
        <v>0.1</v>
      </c>
      <c r="N22" s="82">
        <f>N23+0.1+(IF(N33="〇",1,0)*0.01)+(IF(N32="〇",1,0)*0.001)+(IF(N31="〇",1,0)*0.0001)+(IF(N30="〇",1,0)*0.00001)+(IF(N28="〇",1,0)*0.000001)+(IF(N27="〇",1,0)*0.0000001)+(IF(N26="〇",1,0)*0.00000001)+(IF(N25="〇",1,0)*0.000000001)</f>
        <v>0.1</v>
      </c>
      <c r="O22" s="80">
        <f>O23+0.1+(IF(O33="〇",1,0)*0.01)+(IF(O32="〇",1,0)*0.001)+(IF(O31="〇",1,0)*0.0001)+(IF(O30="〇",1,0)*0.00001)+(IF(O28="〇",1,0)*0.000001)+(IF(O27="〇",1,0)*0.0000001)+(IF(O26="〇",1,0)*0.00000001)+(IF(O25="〇",1,0)*0.000000001)</f>
        <v>0.1</v>
      </c>
      <c r="P22" s="80">
        <f>P23+0.1+(IF(P33="〇",1,0)*0.01)+(IF(P32="〇",1,0)*0.001)+(IF(P31="〇",1,0)*0.0001)+(IF(P30="〇",1,0)*0.00001)+(IF(P28="〇",1,0)*0.000001)+(IF(P27="〇",1,0)*0.0000001)+(IF(P26="〇",1,0)*0.00000001)+(IF(P25="〇",1,0)*0.000000001)</f>
        <v>0.1</v>
      </c>
      <c r="Q22" s="83">
        <f>Q23+0.1+(IF(Q33="〇",1,0)*0.01)+(IF(Q32="〇",1,0)*0.001)+(IF(Q31="〇",1,0)*0.0001)+(IF(Q30="〇",1,0)*0.00001)+(IF(Q28="〇",1,0)*0.000001)+(IF(Q27="〇",1,0)*0.0000001)+(IF(Q26="〇",1,0)*0.00000001)+(IF(Q25="〇",1,0)*0.000000001)</f>
        <v>0.1</v>
      </c>
      <c r="R22" s="84">
        <f>R23+0.1+(IF(R33="〇",1,0)*0.01)+(IF(R32="〇",1,0)*0.001)+(IF(R31="〇",1,0)*0.0001)+(IF(R30="〇",1,0)*0.00001)+(IF(R28="〇",1,0)*0.000001)+(IF(R27="〇",1,0)*0.0000001)+(IF(R26="〇",1,0)*0.00000001)+(IF(R25="〇",1,0)*0.000000001)</f>
        <v>0.1</v>
      </c>
      <c r="S22" s="80">
        <f>S23+0.1+(IF(S33="〇",1,0)*0.01)+(IF(S32="〇",1,0)*0.001)+(IF(S31="〇",1,0)*0.0001)+(IF(S30="〇",1,0)*0.00001)+(IF(S28="〇",1,0)*0.000001)+(IF(S27="〇",1,0)*0.0000001)+(IF(S26="〇",1,0)*0.00000001)+(IF(S25="〇",1,0)*0.000000001)</f>
        <v>0.1</v>
      </c>
      <c r="T22" s="80">
        <f>T23+0.1+(IF(T33="〇",1,0)*0.01)+(IF(T32="〇",1,0)*0.001)+(IF(T31="〇",1,0)*0.0001)+(IF(T30="〇",1,0)*0.00001)+(IF(T28="〇",1,0)*0.000001)+(IF(T27="〇",1,0)*0.0000001)+(IF(T26="〇",1,0)*0.00000001)+(IF(T25="〇",1,0)*0.000000001)</f>
        <v>0.1</v>
      </c>
      <c r="U22" s="81">
        <f>U23+0.1+(IF(U33="〇",1,0)*0.01)+(IF(U32="〇",1,0)*0.001)+(IF(U31="〇",1,0)*0.0001)+(IF(U30="〇",1,0)*0.00001)+(IF(U28="〇",1,0)*0.000001)+(IF(U27="〇",1,0)*0.0000001)+(IF(U26="〇",1,0)*0.00000001)+(IF(U25="〇",1,0)*0.000000001)</f>
        <v>0.1</v>
      </c>
      <c r="V22" s="82">
        <f>V23+0.1+(IF(V33="〇",1,0)*0.01)+(IF(V32="〇",1,0)*0.001)+(IF(V31="〇",1,0)*0.0001)+(IF(V30="〇",1,0)*0.00001)+(IF(V28="〇",1,0)*0.000001)+(IF(V27="〇",1,0)*0.0000001)+(IF(V26="〇",1,0)*0.00000001)+(IF(V25="〇",1,0)*0.000000001)</f>
        <v>0.1</v>
      </c>
      <c r="W22" s="80">
        <f>W23+0.1+(IF(W33="〇",1,0)*0.01)+(IF(W32="〇",1,0)*0.001)+(IF(W31="〇",1,0)*0.0001)+(IF(W30="〇",1,0)*0.00001)+(IF(W28="〇",1,0)*0.000001)+(IF(W27="〇",1,0)*0.0000001)+(IF(W26="〇",1,0)*0.00000001)+(IF(W25="〇",1,0)*0.000000001)</f>
        <v>0.1</v>
      </c>
      <c r="X22" s="80">
        <f>X23+0.1+(IF(X33="〇",1,0)*0.01)+(IF(X32="〇",1,0)*0.001)+(IF(X31="〇",1,0)*0.0001)+(IF(X30="〇",1,0)*0.00001)+(IF(X28="〇",1,0)*0.000001)+(IF(X27="〇",1,0)*0.0000001)+(IF(X26="〇",1,0)*0.00000001)+(IF(X25="〇",1,0)*0.000000001)</f>
        <v>0.1</v>
      </c>
      <c r="Y22" s="80">
        <f>Y23+0.1+(IF(Y33="〇",1,0)*0.01)+(IF(Y32="〇",1,0)*0.001)+(IF(Y31="〇",1,0)*0.0001)+(IF(Y30="〇",1,0)*0.00001)+(IF(Y28="〇",1,0)*0.000001)+(IF(Y27="〇",1,0)*0.0000001)+(IF(Y26="〇",1,0)*0.00000001)+(IF(Y25="〇",1,0)*0.000000001)</f>
        <v>0.1</v>
      </c>
      <c r="Z22" s="231" t="s">
        <v>32</v>
      </c>
      <c r="AA22" s="236"/>
      <c r="AB22" s="121"/>
      <c r="AC22" s="121"/>
      <c r="AD22" s="121"/>
      <c r="AE22" s="121"/>
      <c r="AF22" s="121"/>
      <c r="AG22" s="121"/>
      <c r="AH22" s="121"/>
      <c r="AI22" s="121"/>
    </row>
    <row r="23" spans="2:35" hidden="1" x14ac:dyDescent="0.55000000000000004">
      <c r="J23" s="85">
        <f>J24+J29</f>
        <v>0</v>
      </c>
      <c r="K23" s="85">
        <f>K24+K29</f>
        <v>0</v>
      </c>
      <c r="L23" s="85">
        <f>L24+L29</f>
        <v>0</v>
      </c>
      <c r="M23" s="86">
        <f>M24+M29</f>
        <v>0</v>
      </c>
      <c r="N23" s="87">
        <f>N24+N29</f>
        <v>0</v>
      </c>
      <c r="O23" s="85">
        <f>O24+O29</f>
        <v>0</v>
      </c>
      <c r="P23" s="85">
        <f>P24+P29</f>
        <v>0</v>
      </c>
      <c r="Q23" s="88">
        <f>Q24+Q29</f>
        <v>0</v>
      </c>
      <c r="R23" s="89">
        <f>R24+R29</f>
        <v>0</v>
      </c>
      <c r="S23" s="85">
        <f>S24+S29</f>
        <v>0</v>
      </c>
      <c r="T23" s="85">
        <f>T24+T29</f>
        <v>0</v>
      </c>
      <c r="U23" s="86">
        <f>U24+U29</f>
        <v>0</v>
      </c>
      <c r="V23" s="87">
        <f>V24+V29</f>
        <v>0</v>
      </c>
      <c r="W23" s="85">
        <f>W24+W29</f>
        <v>0</v>
      </c>
      <c r="X23" s="85">
        <f>X24+X29</f>
        <v>0</v>
      </c>
      <c r="Y23" s="85">
        <f>Y24+Y29</f>
        <v>0</v>
      </c>
      <c r="Z23" s="231" t="s">
        <v>4</v>
      </c>
      <c r="AA23" s="236"/>
      <c r="AB23" s="121"/>
      <c r="AC23" s="121"/>
      <c r="AD23" s="121"/>
      <c r="AE23" s="121"/>
      <c r="AF23" s="121"/>
      <c r="AG23" s="121"/>
      <c r="AH23" s="121"/>
      <c r="AI23" s="121"/>
    </row>
    <row r="24" spans="2:35" hidden="1" x14ac:dyDescent="0.55000000000000004">
      <c r="J24" s="90"/>
      <c r="K24" s="90">
        <f t="shared" ref="K24:P24" si="12">COUNTIF(K25:K28,"〇")</f>
        <v>0</v>
      </c>
      <c r="L24" s="90">
        <f t="shared" si="12"/>
        <v>0</v>
      </c>
      <c r="M24" s="91">
        <f t="shared" si="12"/>
        <v>0</v>
      </c>
      <c r="N24" s="92">
        <f t="shared" si="12"/>
        <v>0</v>
      </c>
      <c r="O24" s="90">
        <f t="shared" si="12"/>
        <v>0</v>
      </c>
      <c r="P24" s="90">
        <f t="shared" si="12"/>
        <v>0</v>
      </c>
      <c r="Q24" s="93">
        <f>COUNTIF(Q25:Q28,"〇")</f>
        <v>0</v>
      </c>
      <c r="R24" s="94">
        <f>COUNTIF(R25:R28,"〇")</f>
        <v>0</v>
      </c>
      <c r="S24" s="90">
        <f t="shared" ref="S24:Y24" si="13">COUNTIF(S25:S28,"〇")</f>
        <v>0</v>
      </c>
      <c r="T24" s="90">
        <f t="shared" si="13"/>
        <v>0</v>
      </c>
      <c r="U24" s="91">
        <f t="shared" si="13"/>
        <v>0</v>
      </c>
      <c r="V24" s="92">
        <f t="shared" si="13"/>
        <v>0</v>
      </c>
      <c r="W24" s="90">
        <f t="shared" si="13"/>
        <v>0</v>
      </c>
      <c r="X24" s="90">
        <f t="shared" si="13"/>
        <v>0</v>
      </c>
      <c r="Y24" s="90">
        <f t="shared" si="13"/>
        <v>0</v>
      </c>
      <c r="Z24" s="231" t="s">
        <v>21</v>
      </c>
      <c r="AA24" s="236"/>
      <c r="AB24" s="121"/>
      <c r="AC24" s="121"/>
      <c r="AD24" s="121"/>
      <c r="AE24" s="121"/>
      <c r="AF24" s="121"/>
      <c r="AG24" s="121"/>
      <c r="AH24" s="121"/>
      <c r="AI24" s="121"/>
    </row>
    <row r="25" spans="2:35" hidden="1" x14ac:dyDescent="0.55000000000000004">
      <c r="J25" s="95"/>
      <c r="K25" s="95"/>
      <c r="L25" s="95"/>
      <c r="M25" s="96"/>
      <c r="N25" s="97"/>
      <c r="O25" s="95"/>
      <c r="P25" s="95"/>
      <c r="Q25" s="98"/>
      <c r="R25" s="99"/>
      <c r="S25" s="95"/>
      <c r="T25" s="95"/>
      <c r="U25" s="96"/>
      <c r="V25" s="97"/>
      <c r="W25" s="95"/>
      <c r="X25" s="95"/>
      <c r="Y25" s="95"/>
      <c r="Z25" s="231" t="s">
        <v>22</v>
      </c>
      <c r="AA25" s="236"/>
      <c r="AB25" s="121"/>
      <c r="AC25" s="121"/>
      <c r="AD25" s="121"/>
      <c r="AE25" s="121"/>
      <c r="AF25" s="121"/>
      <c r="AG25" s="121"/>
      <c r="AH25" s="121"/>
      <c r="AI25" s="121"/>
    </row>
    <row r="26" spans="2:35" hidden="1" x14ac:dyDescent="0.55000000000000004">
      <c r="J26" s="95"/>
      <c r="K26" s="95"/>
      <c r="L26" s="95"/>
      <c r="M26" s="96"/>
      <c r="N26" s="97"/>
      <c r="O26" s="95"/>
      <c r="P26" s="95"/>
      <c r="Q26" s="98"/>
      <c r="R26" s="99"/>
      <c r="S26" s="95"/>
      <c r="T26" s="95"/>
      <c r="U26" s="96"/>
      <c r="V26" s="97"/>
      <c r="W26" s="95"/>
      <c r="X26" s="95"/>
      <c r="Y26" s="95"/>
      <c r="Z26" s="231" t="s">
        <v>24</v>
      </c>
      <c r="AA26" s="236"/>
      <c r="AB26" s="121"/>
      <c r="AC26" s="121"/>
      <c r="AD26" s="121"/>
      <c r="AE26" s="121"/>
      <c r="AF26" s="121"/>
      <c r="AG26" s="121"/>
      <c r="AH26" s="121"/>
      <c r="AI26" s="121"/>
    </row>
    <row r="27" spans="2:35" hidden="1" x14ac:dyDescent="0.55000000000000004">
      <c r="J27" s="95"/>
      <c r="K27" s="95"/>
      <c r="L27" s="95"/>
      <c r="M27" s="96"/>
      <c r="N27" s="97"/>
      <c r="O27" s="95"/>
      <c r="P27" s="95"/>
      <c r="Q27" s="98"/>
      <c r="R27" s="99"/>
      <c r="S27" s="95"/>
      <c r="T27" s="95"/>
      <c r="U27" s="96"/>
      <c r="V27" s="97"/>
      <c r="W27" s="95"/>
      <c r="X27" s="95"/>
      <c r="Y27" s="95"/>
      <c r="Z27" s="231" t="s">
        <v>26</v>
      </c>
      <c r="AA27" s="236"/>
      <c r="AB27" s="121"/>
      <c r="AC27" s="121"/>
      <c r="AD27" s="121"/>
      <c r="AE27" s="121"/>
      <c r="AF27" s="121"/>
      <c r="AG27" s="121"/>
      <c r="AH27" s="121"/>
      <c r="AI27" s="121"/>
    </row>
    <row r="28" spans="2:35" hidden="1" x14ac:dyDescent="0.55000000000000004">
      <c r="J28" s="95"/>
      <c r="K28" s="95"/>
      <c r="L28" s="95"/>
      <c r="M28" s="96"/>
      <c r="N28" s="97"/>
      <c r="O28" s="95"/>
      <c r="P28" s="95"/>
      <c r="Q28" s="98"/>
      <c r="R28" s="99"/>
      <c r="S28" s="95"/>
      <c r="T28" s="95"/>
      <c r="U28" s="96"/>
      <c r="V28" s="97"/>
      <c r="W28" s="95"/>
      <c r="X28" s="95"/>
      <c r="Y28" s="95"/>
      <c r="Z28" s="231" t="s">
        <v>28</v>
      </c>
      <c r="AA28" s="236"/>
      <c r="AB28" s="121"/>
      <c r="AC28" s="121"/>
      <c r="AD28" s="121"/>
      <c r="AE28" s="121"/>
      <c r="AF28" s="121"/>
      <c r="AG28" s="121"/>
      <c r="AH28" s="121"/>
      <c r="AI28" s="121"/>
    </row>
    <row r="29" spans="2:35" hidden="1" x14ac:dyDescent="0.55000000000000004">
      <c r="J29" s="90">
        <f>COUNTIF(J30:J33,"〇")</f>
        <v>0</v>
      </c>
      <c r="K29" s="90">
        <f>COUNTIF(K30:K33,"〇")</f>
        <v>0</v>
      </c>
      <c r="L29" s="90">
        <f>COUNTIF(L30:L33,"〇")</f>
        <v>0</v>
      </c>
      <c r="M29" s="91">
        <f>COUNTIF(M30:M33,"〇")</f>
        <v>0</v>
      </c>
      <c r="N29" s="92">
        <f>COUNTIF(N30:N33,"〇")</f>
        <v>0</v>
      </c>
      <c r="O29" s="90">
        <f>COUNTIF(O30:O33,"〇")</f>
        <v>0</v>
      </c>
      <c r="P29" s="90">
        <f>COUNTIF(P30:P33,"〇")</f>
        <v>0</v>
      </c>
      <c r="Q29" s="93">
        <f>COUNTIF(Q30:Q33,"〇")</f>
        <v>0</v>
      </c>
      <c r="R29" s="94">
        <f>COUNTIF(R30:R33,"〇")</f>
        <v>0</v>
      </c>
      <c r="S29" s="90">
        <f>COUNTIF(S30:S33,"〇")</f>
        <v>0</v>
      </c>
      <c r="T29" s="90">
        <f>COUNTIF(T30:T33,"〇")</f>
        <v>0</v>
      </c>
      <c r="U29" s="91">
        <f>COUNTIF(U30:U33,"〇")</f>
        <v>0</v>
      </c>
      <c r="V29" s="92">
        <f>COUNTIF(V30:V33,"〇")</f>
        <v>0</v>
      </c>
      <c r="W29" s="90">
        <f>COUNTIF(W30:W33,"〇")</f>
        <v>0</v>
      </c>
      <c r="X29" s="90">
        <f>COUNTIF(X30:X33,"〇")</f>
        <v>0</v>
      </c>
      <c r="Y29" s="90">
        <f>COUNTIF(Y30:Y33,"〇")</f>
        <v>0</v>
      </c>
      <c r="Z29" s="231" t="s">
        <v>20</v>
      </c>
      <c r="AA29" s="236"/>
      <c r="AB29" s="121"/>
      <c r="AC29" s="121"/>
      <c r="AD29" s="121"/>
      <c r="AE29" s="121"/>
      <c r="AF29" s="121"/>
      <c r="AG29" s="121"/>
      <c r="AH29" s="121"/>
      <c r="AI29" s="121"/>
    </row>
    <row r="30" spans="2:35" hidden="1" x14ac:dyDescent="0.55000000000000004">
      <c r="J30" s="213"/>
      <c r="K30" s="213"/>
      <c r="L30" s="213"/>
      <c r="M30" s="214"/>
      <c r="N30" s="215"/>
      <c r="O30" s="213"/>
      <c r="P30" s="213"/>
      <c r="Q30" s="216"/>
      <c r="R30" s="212"/>
      <c r="S30" s="213"/>
      <c r="T30" s="213"/>
      <c r="U30" s="214"/>
      <c r="V30" s="215"/>
      <c r="W30" s="213"/>
      <c r="X30" s="213"/>
      <c r="Y30" s="213"/>
      <c r="Z30" s="231" t="s">
        <v>22</v>
      </c>
      <c r="AA30" s="236"/>
      <c r="AB30" s="121"/>
      <c r="AC30" s="121"/>
      <c r="AD30" s="121"/>
      <c r="AE30" s="121"/>
      <c r="AF30" s="121"/>
      <c r="AG30" s="121"/>
      <c r="AH30" s="121"/>
      <c r="AI30" s="121"/>
    </row>
    <row r="31" spans="2:35" hidden="1" x14ac:dyDescent="0.55000000000000004">
      <c r="J31" s="218"/>
      <c r="K31" s="218"/>
      <c r="L31" s="218"/>
      <c r="M31" s="219"/>
      <c r="N31" s="220"/>
      <c r="O31" s="218"/>
      <c r="P31" s="218"/>
      <c r="Q31" s="221"/>
      <c r="R31" s="217"/>
      <c r="S31" s="218"/>
      <c r="T31" s="218"/>
      <c r="U31" s="219"/>
      <c r="V31" s="220"/>
      <c r="W31" s="218"/>
      <c r="X31" s="218"/>
      <c r="Y31" s="218"/>
      <c r="Z31" s="231" t="s">
        <v>24</v>
      </c>
      <c r="AA31" s="236"/>
      <c r="AB31" s="121"/>
      <c r="AC31" s="121"/>
      <c r="AD31" s="121"/>
      <c r="AE31" s="121"/>
      <c r="AF31" s="121"/>
      <c r="AG31" s="121"/>
      <c r="AH31" s="121"/>
      <c r="AI31" s="121"/>
    </row>
    <row r="32" spans="2:35" hidden="1" x14ac:dyDescent="0.55000000000000004">
      <c r="J32" s="218"/>
      <c r="K32" s="218"/>
      <c r="L32" s="218"/>
      <c r="M32" s="219"/>
      <c r="N32" s="220"/>
      <c r="O32" s="218"/>
      <c r="P32" s="218"/>
      <c r="Q32" s="221"/>
      <c r="R32" s="217"/>
      <c r="S32" s="218"/>
      <c r="T32" s="218"/>
      <c r="U32" s="219"/>
      <c r="V32" s="220"/>
      <c r="W32" s="218"/>
      <c r="X32" s="218"/>
      <c r="Y32" s="218"/>
      <c r="Z32" s="231" t="s">
        <v>26</v>
      </c>
      <c r="AA32" s="236"/>
      <c r="AB32" s="121"/>
      <c r="AC32" s="121"/>
      <c r="AD32" s="121"/>
      <c r="AE32" s="121"/>
      <c r="AF32" s="121"/>
      <c r="AG32" s="121"/>
      <c r="AH32" s="121"/>
      <c r="AI32" s="121"/>
    </row>
    <row r="33" spans="2:35" ht="33" hidden="1" thickBot="1" x14ac:dyDescent="0.6">
      <c r="J33" s="223"/>
      <c r="K33" s="223"/>
      <c r="L33" s="223"/>
      <c r="M33" s="224"/>
      <c r="N33" s="225"/>
      <c r="O33" s="223"/>
      <c r="P33" s="223"/>
      <c r="Q33" s="226"/>
      <c r="R33" s="222"/>
      <c r="S33" s="223"/>
      <c r="T33" s="223"/>
      <c r="U33" s="224"/>
      <c r="V33" s="225"/>
      <c r="W33" s="223"/>
      <c r="X33" s="223"/>
      <c r="Y33" s="223"/>
      <c r="Z33" s="232" t="s">
        <v>28</v>
      </c>
      <c r="AA33" s="236"/>
      <c r="AB33" s="121"/>
      <c r="AC33" s="121"/>
      <c r="AD33" s="121"/>
      <c r="AE33" s="121"/>
      <c r="AF33" s="121"/>
      <c r="AG33" s="121"/>
      <c r="AH33" s="121"/>
      <c r="AI33" s="121"/>
    </row>
    <row r="34" spans="2:35" x14ac:dyDescent="0.55000000000000004">
      <c r="J34" s="105">
        <f>IF(選手!C41&lt;&gt;"",選手!C41,"")</f>
        <v>40</v>
      </c>
      <c r="K34" s="105">
        <f>IF(選手!C40&lt;&gt;"",選手!C40,"")</f>
        <v>39</v>
      </c>
      <c r="L34" s="105">
        <f>IF(選手!C39&lt;&gt;"",選手!C39,"")</f>
        <v>38</v>
      </c>
      <c r="M34" s="106">
        <f>IF(選手!C38&lt;&gt;"",選手!C38,"")</f>
        <v>37</v>
      </c>
      <c r="N34" s="107">
        <f>IF(選手!C37&lt;&gt;"",選手!C37,"")</f>
        <v>36</v>
      </c>
      <c r="O34" s="105">
        <f>IF(選手!C36&lt;&gt;"",選手!C36,"")</f>
        <v>35</v>
      </c>
      <c r="P34" s="105">
        <f>IF(選手!C35&lt;&gt;"",選手!C35,"")</f>
        <v>34</v>
      </c>
      <c r="Q34" s="108">
        <f>IF(選手!C34&lt;&gt;"",選手!C34,"")</f>
        <v>33</v>
      </c>
      <c r="R34" s="109">
        <f>IF(選手!C33&lt;&gt;"",選手!C33,"")</f>
        <v>32</v>
      </c>
      <c r="S34" s="105">
        <f>IF(選手!C32&lt;&gt;"",選手!C32,"")</f>
        <v>31</v>
      </c>
      <c r="T34" s="105">
        <f>IF(選手!C31&lt;&gt;"",選手!C31,"")</f>
        <v>30</v>
      </c>
      <c r="U34" s="106">
        <f>IF(選手!C30&lt;&gt;"",選手!C30,"")</f>
        <v>29</v>
      </c>
      <c r="V34" s="107">
        <f>IF(選手!C29&lt;&gt;"",選手!C29,"")</f>
        <v>28</v>
      </c>
      <c r="W34" s="105">
        <f>IF(選手!C28&lt;&gt;"",選手!C28,"")</f>
        <v>27</v>
      </c>
      <c r="X34" s="105">
        <f>IF(選手!C27&lt;&gt;"",選手!C27,"")</f>
        <v>26</v>
      </c>
      <c r="Y34" s="105">
        <f>IF(選手!C26&lt;&gt;"",選手!C26,"")</f>
        <v>25</v>
      </c>
      <c r="Z34" s="233" t="s">
        <v>18</v>
      </c>
      <c r="AA34" s="236"/>
      <c r="AB34" s="121"/>
      <c r="AC34" s="121"/>
      <c r="AD34" s="121"/>
      <c r="AE34" s="121"/>
      <c r="AF34" s="121"/>
      <c r="AG34" s="121"/>
      <c r="AH34" s="121"/>
      <c r="AI34" s="121"/>
    </row>
    <row r="35" spans="2:35" x14ac:dyDescent="0.55000000000000004">
      <c r="J35" s="110" t="str">
        <f>IF(選手!E41&lt;&gt;"",選手!E41,"")</f>
        <v>女</v>
      </c>
      <c r="K35" s="110" t="str">
        <f>IF(選手!E40&lt;&gt;"",選手!E40,"")</f>
        <v>女</v>
      </c>
      <c r="L35" s="110" t="str">
        <f>IF(選手!E39&lt;&gt;"",選手!E39,"")</f>
        <v>女</v>
      </c>
      <c r="M35" s="111" t="str">
        <f>IF(選手!E38&lt;&gt;"",選手!E38,"")</f>
        <v>女</v>
      </c>
      <c r="N35" s="112" t="str">
        <f>IF(選手!E37&lt;&gt;"",選手!E37,"")</f>
        <v>男</v>
      </c>
      <c r="O35" s="110" t="str">
        <f>IF(選手!E36&lt;&gt;"",選手!E36,"")</f>
        <v>男</v>
      </c>
      <c r="P35" s="110" t="str">
        <f>IF(選手!E35&lt;&gt;"",選手!E35,"")</f>
        <v>男</v>
      </c>
      <c r="Q35" s="113" t="str">
        <f>IF(選手!E34&lt;&gt;"",選手!E34,"")</f>
        <v>男</v>
      </c>
      <c r="R35" s="114" t="str">
        <f>IF(選手!E33&lt;&gt;"",選手!E33,"")</f>
        <v>女</v>
      </c>
      <c r="S35" s="110" t="str">
        <f>IF(選手!E32&lt;&gt;"",選手!E32,"")</f>
        <v>女</v>
      </c>
      <c r="T35" s="110" t="str">
        <f>IF(選手!E31&lt;&gt;"",選手!E31,"")</f>
        <v>女</v>
      </c>
      <c r="U35" s="111" t="str">
        <f>IF(選手!E30&lt;&gt;"",選手!E30,"")</f>
        <v>女</v>
      </c>
      <c r="V35" s="112" t="str">
        <f>IF(選手!E29&lt;&gt;"",選手!E29,"")</f>
        <v>男</v>
      </c>
      <c r="W35" s="110" t="str">
        <f>IF(選手!E28&lt;&gt;"",選手!E28,"")</f>
        <v>男</v>
      </c>
      <c r="X35" s="110" t="str">
        <f>IF(選手!E27&lt;&gt;"",選手!E27,"")</f>
        <v>男</v>
      </c>
      <c r="Y35" s="110" t="str">
        <f>IF(選手!E26&lt;&gt;"",選手!E26,"")</f>
        <v>男</v>
      </c>
      <c r="Z35" s="231" t="s">
        <v>1</v>
      </c>
      <c r="AA35" s="236"/>
      <c r="AB35" s="121"/>
      <c r="AC35" s="121"/>
      <c r="AD35" s="121"/>
      <c r="AE35" s="121"/>
      <c r="AF35" s="121"/>
      <c r="AG35" s="121"/>
      <c r="AH35" s="121"/>
      <c r="AI35" s="121"/>
    </row>
    <row r="36" spans="2:35" ht="190" customHeight="1" x14ac:dyDescent="0.55000000000000004">
      <c r="J36" s="116" t="str">
        <f>IF(選手!D41&lt;&gt;"",選手!D41,"")</f>
        <v>加藤 康子</v>
      </c>
      <c r="K36" s="116" t="str">
        <f>IF(選手!D40&lt;&gt;"",選手!D40,"")</f>
        <v>安達 初枝</v>
      </c>
      <c r="L36" s="116" t="str">
        <f>IF(選手!D39&lt;&gt;"",選手!D39,"")</f>
        <v>北川 裕希子</v>
      </c>
      <c r="M36" s="117" t="str">
        <f>IF(選手!D38&lt;&gt;"",選手!D38,"")</f>
        <v>田中 沙紀子</v>
      </c>
      <c r="N36" s="118" t="str">
        <f>IF(選手!D37&lt;&gt;"",選手!D37,"")</f>
        <v>山田 英治</v>
      </c>
      <c r="O36" s="116" t="str">
        <f>IF(選手!D36&lt;&gt;"",選手!D36,"")</f>
        <v>大竹 誠</v>
      </c>
      <c r="P36" s="116" t="str">
        <f>IF(選手!D35&lt;&gt;"",選手!D35,"")</f>
        <v>角谷 昌紀</v>
      </c>
      <c r="Q36" s="119" t="str">
        <f>IF(選手!D34&lt;&gt;"",選手!D34,"")</f>
        <v>西尾 雅司</v>
      </c>
      <c r="R36" s="120" t="str">
        <f>IF(選手!D33&lt;&gt;"",選手!D33,"")</f>
        <v>野々垣 奈緒子</v>
      </c>
      <c r="S36" s="116" t="str">
        <f>IF(選手!D32&lt;&gt;"",選手!D32,"")</f>
        <v>水野 三穂</v>
      </c>
      <c r="T36" s="116" t="str">
        <f>IF(選手!D31&lt;&gt;"",選手!D31,"")</f>
        <v>上平 佳織</v>
      </c>
      <c r="U36" s="117" t="str">
        <f>IF(選手!D30&lt;&gt;"",選手!D30,"")</f>
        <v>澤田 圭子</v>
      </c>
      <c r="V36" s="118" t="str">
        <f>IF(選手!D27&lt;&gt;"",選手!D27,"")</f>
        <v>松永 安太郎</v>
      </c>
      <c r="W36" s="116" t="str">
        <f>IF(選手!D29&lt;&gt;"",選手!D29,"")</f>
        <v>芝田 典久</v>
      </c>
      <c r="X36" s="116" t="str">
        <f>IF(選手!D28&lt;&gt;"",選手!D28,"")</f>
        <v>山本 三郎</v>
      </c>
      <c r="Y36" s="116" t="str">
        <f>IF(選手!D26&lt;&gt;"",選手!D26,"")</f>
        <v>葛西 裕文</v>
      </c>
      <c r="Z36" s="115" t="s">
        <v>58</v>
      </c>
      <c r="AA36" s="237"/>
      <c r="AB36" s="121"/>
      <c r="AC36" s="121"/>
      <c r="AD36" s="121"/>
      <c r="AE36" s="121"/>
      <c r="AF36" s="121"/>
      <c r="AG36" s="121"/>
      <c r="AH36" s="121"/>
      <c r="AI36" s="121"/>
    </row>
    <row r="38" spans="2:35" ht="38.5" x14ac:dyDescent="0.55000000000000004">
      <c r="B38" s="268"/>
      <c r="C38" s="268"/>
      <c r="D38" s="268"/>
      <c r="E38" s="270"/>
      <c r="F38" s="227" t="str">
        <f>選手!B58</f>
        <v>瀬戸B</v>
      </c>
      <c r="G38" s="227"/>
      <c r="H38" s="227"/>
      <c r="I38" s="228"/>
      <c r="J38" s="227" t="str">
        <f>選手!B54</f>
        <v>瀬戸A</v>
      </c>
      <c r="K38" s="227"/>
      <c r="L38" s="227"/>
      <c r="M38" s="227"/>
      <c r="N38" s="229" t="str">
        <f>選手!B50</f>
        <v>愛知A</v>
      </c>
      <c r="O38" s="227"/>
      <c r="P38" s="227"/>
      <c r="Q38" s="230"/>
      <c r="R38" s="229" t="str">
        <f>選手!B46</f>
        <v>西春日井B</v>
      </c>
      <c r="S38" s="227"/>
      <c r="T38" s="227"/>
      <c r="U38" s="230"/>
      <c r="V38" s="227" t="str">
        <f>選手!B42</f>
        <v>西春日井A</v>
      </c>
      <c r="W38" s="227"/>
      <c r="X38" s="227"/>
      <c r="Y38" s="228"/>
      <c r="Z38" s="231" t="s">
        <v>2</v>
      </c>
      <c r="AA38" s="235" t="s">
        <v>132</v>
      </c>
    </row>
    <row r="39" spans="2:35" hidden="1" x14ac:dyDescent="0.55000000000000004">
      <c r="B39" s="268"/>
      <c r="C39" s="268"/>
      <c r="D39" s="268"/>
      <c r="E39" s="270"/>
      <c r="F39" s="174">
        <f>SUM(F41:I41)</f>
        <v>0</v>
      </c>
      <c r="G39" s="175"/>
      <c r="H39" s="175"/>
      <c r="I39" s="175"/>
      <c r="J39" s="174">
        <f>SUM(J41:M41)</f>
        <v>0</v>
      </c>
      <c r="K39" s="175"/>
      <c r="L39" s="175"/>
      <c r="M39" s="178"/>
      <c r="N39" s="176">
        <f t="shared" ref="N39" si="14">SUM(N41:Q41)</f>
        <v>0</v>
      </c>
      <c r="O39" s="175"/>
      <c r="P39" s="175"/>
      <c r="Q39" s="177"/>
      <c r="R39" s="176">
        <f t="shared" ref="R39" si="15">SUM(R41:U41)</f>
        <v>0</v>
      </c>
      <c r="S39" s="175"/>
      <c r="T39" s="175"/>
      <c r="U39" s="177"/>
      <c r="V39" s="174">
        <f t="shared" ref="V39" si="16">SUM(V41:Y41)</f>
        <v>0</v>
      </c>
      <c r="W39" s="175"/>
      <c r="X39" s="175"/>
      <c r="Y39" s="175"/>
      <c r="Z39" s="231" t="s">
        <v>3</v>
      </c>
      <c r="AA39" s="236"/>
    </row>
    <row r="40" spans="2:35" hidden="1" x14ac:dyDescent="0.55000000000000004">
      <c r="B40" s="268"/>
      <c r="C40" s="268"/>
      <c r="D40" s="268"/>
      <c r="E40" s="270"/>
      <c r="F40" s="84">
        <f>F41+0.1+(IF(F51="〇",1,0)*0.01)+(IF(F50="〇",1,0)*0.001)+(IF(F49="〇",1,0)*0.0001)+(IF(F48="〇",1,0)*0.00001)+(IF(F46="〇",1,0)*0.000001)+(IF(F45="〇",1,0)*0.0000001)+(IF(F44="〇",1,0)*0.00000001)+(IF(F43="〇",1,0)*0.000000001)</f>
        <v>0.1</v>
      </c>
      <c r="G40" s="80">
        <f>G41+0.1+(IF(G51="〇",1,0)*0.01)+(IF(G50="〇",1,0)*0.001)+(IF(G49="〇",1,0)*0.0001)+(IF(G48="〇",1,0)*0.00001)+(IF(G46="〇",1,0)*0.000001)+(IF(G45="〇",1,0)*0.0000001)+(IF(G44="〇",1,0)*0.00000001)+(IF(G43="〇",1,0)*0.000000001)</f>
        <v>0.1</v>
      </c>
      <c r="H40" s="80">
        <f>H41+0.1+(IF(H51="〇",1,0)*0.01)+(IF(H50="〇",1,0)*0.001)+(IF(H49="〇",1,0)*0.0001)+(IF(H48="〇",1,0)*0.00001)+(IF(H46="〇",1,0)*0.000001)+(IF(H45="〇",1,0)*0.0000001)+(IF(H44="〇",1,0)*0.00000001)+(IF(H43="〇",1,0)*0.000000001)</f>
        <v>0.1</v>
      </c>
      <c r="I40" s="80">
        <f>I41+0.1+(IF(I51="〇",1,0)*0.01)+(IF(I50="〇",1,0)*0.001)+(IF(I49="〇",1,0)*0.0001)+(IF(I48="〇",1,0)*0.00001)+(IF(I46="〇",1,0)*0.000001)+(IF(I45="〇",1,0)*0.0000001)+(IF(I44="〇",1,0)*0.00000001)+(IF(I43="〇",1,0)*0.000000001)</f>
        <v>0.1</v>
      </c>
      <c r="J40" s="84">
        <f>J41+0.1+(IF(J51="〇",1,0)*0.01)+(IF(J50="〇",1,0)*0.001)+(IF(J49="〇",1,0)*0.0001)+(IF(J48="〇",1,0)*0.00001)+(IF(J46="〇",1,0)*0.000001)+(IF(J45="〇",1,0)*0.0000001)+(IF(J44="〇",1,0)*0.00000001)+(IF(J43="〇",1,0)*0.000000001)</f>
        <v>0.1</v>
      </c>
      <c r="K40" s="80">
        <f>K41+0.1+(IF(K51="〇",1,0)*0.01)+(IF(K50="〇",1,0)*0.001)+(IF(K49="〇",1,0)*0.0001)+(IF(K48="〇",1,0)*0.00001)+(IF(K46="〇",1,0)*0.000001)+(IF(K45="〇",1,0)*0.0000001)+(IF(K44="〇",1,0)*0.00000001)+(IF(K43="〇",1,0)*0.000000001)</f>
        <v>0.1</v>
      </c>
      <c r="L40" s="80">
        <f>L41+0.1+(IF(L51="〇",1,0)*0.01)+(IF(L50="〇",1,0)*0.001)+(IF(L49="〇",1,0)*0.0001)+(IF(L48="〇",1,0)*0.00001)+(IF(L46="〇",1,0)*0.000001)+(IF(L45="〇",1,0)*0.0000001)+(IF(L44="〇",1,0)*0.00000001)+(IF(L43="〇",1,0)*0.000000001)</f>
        <v>0.1</v>
      </c>
      <c r="M40" s="81">
        <f>M41+0.1+(IF(M51="〇",1,0)*0.01)+(IF(M50="〇",1,0)*0.001)+(IF(M49="〇",1,0)*0.0001)+(IF(M48="〇",1,0)*0.00001)+(IF(M46="〇",1,0)*0.000001)+(IF(M45="〇",1,0)*0.0000001)+(IF(M44="〇",1,0)*0.00000001)+(IF(M43="〇",1,0)*0.000000001)</f>
        <v>0.1</v>
      </c>
      <c r="N40" s="82">
        <f t="shared" ref="N40:Y40" si="17">N41+0.1+(IF(N51="〇",1,0)*0.01)+(IF(N50="〇",1,0)*0.001)+(IF(N49="〇",1,0)*0.0001)+(IF(N48="〇",1,0)*0.00001)+(IF(N46="〇",1,0)*0.000001)+(IF(N45="〇",1,0)*0.0000001)+(IF(N44="〇",1,0)*0.00000001)+(IF(N43="〇",1,0)*0.000000001)</f>
        <v>0.1</v>
      </c>
      <c r="O40" s="80">
        <f t="shared" si="17"/>
        <v>0.1</v>
      </c>
      <c r="P40" s="80">
        <f t="shared" si="17"/>
        <v>0.1</v>
      </c>
      <c r="Q40" s="80">
        <f t="shared" si="17"/>
        <v>0.1</v>
      </c>
      <c r="R40" s="80">
        <f t="shared" si="17"/>
        <v>0.1</v>
      </c>
      <c r="S40" s="80">
        <f t="shared" si="17"/>
        <v>0.1</v>
      </c>
      <c r="T40" s="80">
        <f t="shared" si="17"/>
        <v>0.1</v>
      </c>
      <c r="U40" s="83">
        <f t="shared" si="17"/>
        <v>0.1</v>
      </c>
      <c r="V40" s="84">
        <f t="shared" si="17"/>
        <v>0.1</v>
      </c>
      <c r="W40" s="80">
        <f t="shared" si="17"/>
        <v>0.1</v>
      </c>
      <c r="X40" s="80">
        <f t="shared" si="17"/>
        <v>0.1</v>
      </c>
      <c r="Y40" s="80">
        <f t="shared" si="17"/>
        <v>0.1</v>
      </c>
      <c r="Z40" s="231" t="s">
        <v>32</v>
      </c>
      <c r="AA40" s="236"/>
    </row>
    <row r="41" spans="2:35" hidden="1" x14ac:dyDescent="0.55000000000000004">
      <c r="B41" s="268"/>
      <c r="C41" s="268"/>
      <c r="D41" s="268"/>
      <c r="E41" s="270"/>
      <c r="F41" s="89">
        <f t="shared" ref="F41:I41" si="18">F42+F47</f>
        <v>0</v>
      </c>
      <c r="G41" s="85">
        <f t="shared" si="18"/>
        <v>0</v>
      </c>
      <c r="H41" s="85">
        <f t="shared" si="18"/>
        <v>0</v>
      </c>
      <c r="I41" s="85">
        <f t="shared" si="18"/>
        <v>0</v>
      </c>
      <c r="J41" s="89">
        <f>J42+J47</f>
        <v>0</v>
      </c>
      <c r="K41" s="85">
        <f>K42+K47</f>
        <v>0</v>
      </c>
      <c r="L41" s="85">
        <f>L42+L47</f>
        <v>0</v>
      </c>
      <c r="M41" s="86">
        <f>M42+M47</f>
        <v>0</v>
      </c>
      <c r="N41" s="87">
        <f t="shared" ref="N41:Y41" si="19">N42+N47</f>
        <v>0</v>
      </c>
      <c r="O41" s="85">
        <f t="shared" si="19"/>
        <v>0</v>
      </c>
      <c r="P41" s="85">
        <f t="shared" si="19"/>
        <v>0</v>
      </c>
      <c r="Q41" s="88">
        <f t="shared" si="19"/>
        <v>0</v>
      </c>
      <c r="R41" s="87">
        <f t="shared" si="19"/>
        <v>0</v>
      </c>
      <c r="S41" s="85">
        <f t="shared" si="19"/>
        <v>0</v>
      </c>
      <c r="T41" s="85">
        <f t="shared" si="19"/>
        <v>0</v>
      </c>
      <c r="U41" s="88">
        <f t="shared" si="19"/>
        <v>0</v>
      </c>
      <c r="V41" s="89">
        <f t="shared" si="19"/>
        <v>0</v>
      </c>
      <c r="W41" s="85">
        <f t="shared" si="19"/>
        <v>0</v>
      </c>
      <c r="X41" s="85">
        <f t="shared" si="19"/>
        <v>0</v>
      </c>
      <c r="Y41" s="85">
        <f t="shared" si="19"/>
        <v>0</v>
      </c>
      <c r="Z41" s="231" t="s">
        <v>4</v>
      </c>
      <c r="AA41" s="236"/>
    </row>
    <row r="42" spans="2:35" hidden="1" x14ac:dyDescent="0.55000000000000004">
      <c r="B42" s="268"/>
      <c r="C42" s="268"/>
      <c r="D42" s="268"/>
      <c r="E42" s="270"/>
      <c r="F42" s="94">
        <f t="shared" ref="F42:I42" si="20">COUNTIF(F43:F46,"〇")</f>
        <v>0</v>
      </c>
      <c r="G42" s="90">
        <f t="shared" si="20"/>
        <v>0</v>
      </c>
      <c r="H42" s="90">
        <f t="shared" si="20"/>
        <v>0</v>
      </c>
      <c r="I42" s="90">
        <f t="shared" si="20"/>
        <v>0</v>
      </c>
      <c r="J42" s="94">
        <f>COUNTIF(J43:J46,"〇")</f>
        <v>0</v>
      </c>
      <c r="K42" s="90">
        <f>COUNTIF(K43:K46,"〇")</f>
        <v>0</v>
      </c>
      <c r="L42" s="90">
        <f>COUNTIF(L43:L46,"〇")</f>
        <v>0</v>
      </c>
      <c r="M42" s="91">
        <f>COUNTIF(M43:M46,"〇")</f>
        <v>0</v>
      </c>
      <c r="N42" s="92">
        <f t="shared" ref="N42:Y42" si="21">COUNTIF(N43:N46,"〇")</f>
        <v>0</v>
      </c>
      <c r="O42" s="90">
        <f t="shared" si="21"/>
        <v>0</v>
      </c>
      <c r="P42" s="90">
        <f t="shared" si="21"/>
        <v>0</v>
      </c>
      <c r="Q42" s="93">
        <f t="shared" si="21"/>
        <v>0</v>
      </c>
      <c r="R42" s="92">
        <f t="shared" si="21"/>
        <v>0</v>
      </c>
      <c r="S42" s="90">
        <f t="shared" si="21"/>
        <v>0</v>
      </c>
      <c r="T42" s="90">
        <f t="shared" si="21"/>
        <v>0</v>
      </c>
      <c r="U42" s="93">
        <f t="shared" si="21"/>
        <v>0</v>
      </c>
      <c r="V42" s="94">
        <f t="shared" si="21"/>
        <v>0</v>
      </c>
      <c r="W42" s="90">
        <f t="shared" si="21"/>
        <v>0</v>
      </c>
      <c r="X42" s="90">
        <f t="shared" si="21"/>
        <v>0</v>
      </c>
      <c r="Y42" s="90">
        <f t="shared" si="21"/>
        <v>0</v>
      </c>
      <c r="Z42" s="231" t="s">
        <v>21</v>
      </c>
      <c r="AA42" s="236"/>
    </row>
    <row r="43" spans="2:35" hidden="1" x14ac:dyDescent="0.55000000000000004">
      <c r="B43" s="268"/>
      <c r="C43" s="268"/>
      <c r="D43" s="268"/>
      <c r="E43" s="270"/>
      <c r="F43" s="99"/>
      <c r="G43" s="95"/>
      <c r="H43" s="95"/>
      <c r="I43" s="95"/>
      <c r="J43" s="99"/>
      <c r="K43" s="95"/>
      <c r="L43" s="95"/>
      <c r="M43" s="96"/>
      <c r="N43" s="97"/>
      <c r="O43" s="95"/>
      <c r="P43" s="95"/>
      <c r="Q43" s="98"/>
      <c r="R43" s="97"/>
      <c r="S43" s="95"/>
      <c r="T43" s="95"/>
      <c r="U43" s="98"/>
      <c r="V43" s="99"/>
      <c r="W43" s="95"/>
      <c r="X43" s="95"/>
      <c r="Y43" s="95"/>
      <c r="Z43" s="231" t="s">
        <v>22</v>
      </c>
      <c r="AA43" s="236"/>
    </row>
    <row r="44" spans="2:35" hidden="1" x14ac:dyDescent="0.55000000000000004">
      <c r="B44" s="268"/>
      <c r="C44" s="268"/>
      <c r="D44" s="268"/>
      <c r="E44" s="270"/>
      <c r="F44" s="99"/>
      <c r="G44" s="95"/>
      <c r="H44" s="95"/>
      <c r="I44" s="95"/>
      <c r="J44" s="99"/>
      <c r="K44" s="95"/>
      <c r="L44" s="95"/>
      <c r="M44" s="96"/>
      <c r="N44" s="97"/>
      <c r="O44" s="95"/>
      <c r="P44" s="95"/>
      <c r="Q44" s="98"/>
      <c r="R44" s="97"/>
      <c r="S44" s="95"/>
      <c r="T44" s="95"/>
      <c r="U44" s="98"/>
      <c r="V44" s="99"/>
      <c r="W44" s="95"/>
      <c r="X44" s="95"/>
      <c r="Y44" s="95"/>
      <c r="Z44" s="231" t="s">
        <v>24</v>
      </c>
      <c r="AA44" s="236"/>
    </row>
    <row r="45" spans="2:35" hidden="1" x14ac:dyDescent="0.55000000000000004">
      <c r="B45" s="268"/>
      <c r="C45" s="268"/>
      <c r="D45" s="268"/>
      <c r="E45" s="270"/>
      <c r="F45" s="99"/>
      <c r="G45" s="95"/>
      <c r="H45" s="95"/>
      <c r="I45" s="95"/>
      <c r="J45" s="99"/>
      <c r="K45" s="95"/>
      <c r="L45" s="95"/>
      <c r="M45" s="96"/>
      <c r="N45" s="97"/>
      <c r="O45" s="95"/>
      <c r="P45" s="95"/>
      <c r="Q45" s="98"/>
      <c r="R45" s="97"/>
      <c r="S45" s="95"/>
      <c r="T45" s="95"/>
      <c r="U45" s="98"/>
      <c r="V45" s="99"/>
      <c r="W45" s="95"/>
      <c r="X45" s="95"/>
      <c r="Y45" s="95"/>
      <c r="Z45" s="231" t="s">
        <v>26</v>
      </c>
      <c r="AA45" s="236"/>
    </row>
    <row r="46" spans="2:35" hidden="1" x14ac:dyDescent="0.55000000000000004">
      <c r="B46" s="268"/>
      <c r="C46" s="268"/>
      <c r="D46" s="268"/>
      <c r="E46" s="270"/>
      <c r="F46" s="99"/>
      <c r="G46" s="95"/>
      <c r="H46" s="95"/>
      <c r="I46" s="95"/>
      <c r="J46" s="99"/>
      <c r="K46" s="95"/>
      <c r="L46" s="95"/>
      <c r="M46" s="96"/>
      <c r="N46" s="97"/>
      <c r="O46" s="95"/>
      <c r="P46" s="95"/>
      <c r="Q46" s="98"/>
      <c r="R46" s="97"/>
      <c r="S46" s="95"/>
      <c r="T46" s="95"/>
      <c r="U46" s="98"/>
      <c r="V46" s="99"/>
      <c r="W46" s="95"/>
      <c r="X46" s="95"/>
      <c r="Y46" s="95"/>
      <c r="Z46" s="231" t="s">
        <v>28</v>
      </c>
      <c r="AA46" s="236"/>
    </row>
    <row r="47" spans="2:35" hidden="1" x14ac:dyDescent="0.55000000000000004">
      <c r="B47" s="268"/>
      <c r="C47" s="268"/>
      <c r="D47" s="268"/>
      <c r="E47" s="270"/>
      <c r="F47" s="94">
        <f t="shared" ref="F47:I47" si="22">COUNTIF(F48:F51,"〇")</f>
        <v>0</v>
      </c>
      <c r="G47" s="90">
        <f t="shared" si="22"/>
        <v>0</v>
      </c>
      <c r="H47" s="90">
        <f t="shared" si="22"/>
        <v>0</v>
      </c>
      <c r="I47" s="90">
        <f t="shared" si="22"/>
        <v>0</v>
      </c>
      <c r="J47" s="94">
        <f>COUNTIF(J48:J51,"〇")</f>
        <v>0</v>
      </c>
      <c r="K47" s="90">
        <f>COUNTIF(K48:K51,"〇")</f>
        <v>0</v>
      </c>
      <c r="L47" s="90">
        <f>COUNTIF(L48:L51,"〇")</f>
        <v>0</v>
      </c>
      <c r="M47" s="91">
        <f>COUNTIF(M48:M51,"〇")</f>
        <v>0</v>
      </c>
      <c r="N47" s="92">
        <f t="shared" ref="N47:Y47" si="23">COUNTIF(N48:N51,"〇")</f>
        <v>0</v>
      </c>
      <c r="O47" s="90">
        <f t="shared" si="23"/>
        <v>0</v>
      </c>
      <c r="P47" s="90">
        <f t="shared" si="23"/>
        <v>0</v>
      </c>
      <c r="Q47" s="93">
        <f t="shared" si="23"/>
        <v>0</v>
      </c>
      <c r="R47" s="92">
        <f t="shared" si="23"/>
        <v>0</v>
      </c>
      <c r="S47" s="90">
        <f t="shared" si="23"/>
        <v>0</v>
      </c>
      <c r="T47" s="90">
        <f t="shared" si="23"/>
        <v>0</v>
      </c>
      <c r="U47" s="93">
        <f t="shared" si="23"/>
        <v>0</v>
      </c>
      <c r="V47" s="94">
        <f t="shared" si="23"/>
        <v>0</v>
      </c>
      <c r="W47" s="90">
        <f t="shared" si="23"/>
        <v>0</v>
      </c>
      <c r="X47" s="90">
        <f t="shared" si="23"/>
        <v>0</v>
      </c>
      <c r="Y47" s="90">
        <f t="shared" si="23"/>
        <v>0</v>
      </c>
      <c r="Z47" s="231" t="s">
        <v>20</v>
      </c>
      <c r="AA47" s="236"/>
    </row>
    <row r="48" spans="2:35" hidden="1" x14ac:dyDescent="0.55000000000000004">
      <c r="B48" s="268"/>
      <c r="C48" s="268"/>
      <c r="D48" s="268"/>
      <c r="E48" s="270"/>
      <c r="F48" s="212"/>
      <c r="G48" s="213"/>
      <c r="H48" s="213"/>
      <c r="I48" s="213"/>
      <c r="J48" s="212"/>
      <c r="K48" s="213"/>
      <c r="L48" s="213"/>
      <c r="M48" s="214"/>
      <c r="N48" s="215"/>
      <c r="O48" s="213"/>
      <c r="P48" s="213"/>
      <c r="Q48" s="216"/>
      <c r="R48" s="215"/>
      <c r="S48" s="213"/>
      <c r="T48" s="213"/>
      <c r="U48" s="216"/>
      <c r="V48" s="212"/>
      <c r="W48" s="213"/>
      <c r="X48" s="213"/>
      <c r="Y48" s="213"/>
      <c r="Z48" s="231" t="s">
        <v>22</v>
      </c>
      <c r="AA48" s="236"/>
    </row>
    <row r="49" spans="2:27" hidden="1" x14ac:dyDescent="0.55000000000000004">
      <c r="B49" s="268"/>
      <c r="C49" s="268"/>
      <c r="D49" s="268"/>
      <c r="E49" s="270"/>
      <c r="F49" s="217"/>
      <c r="G49" s="218"/>
      <c r="H49" s="218"/>
      <c r="I49" s="218"/>
      <c r="J49" s="217"/>
      <c r="K49" s="218"/>
      <c r="L49" s="218"/>
      <c r="M49" s="219"/>
      <c r="N49" s="220"/>
      <c r="O49" s="218"/>
      <c r="P49" s="218"/>
      <c r="Q49" s="221"/>
      <c r="R49" s="220"/>
      <c r="S49" s="218"/>
      <c r="T49" s="218"/>
      <c r="U49" s="221"/>
      <c r="V49" s="217"/>
      <c r="W49" s="218"/>
      <c r="X49" s="218"/>
      <c r="Y49" s="218"/>
      <c r="Z49" s="231" t="s">
        <v>24</v>
      </c>
      <c r="AA49" s="236"/>
    </row>
    <row r="50" spans="2:27" hidden="1" x14ac:dyDescent="0.55000000000000004">
      <c r="B50" s="268"/>
      <c r="C50" s="268"/>
      <c r="D50" s="268"/>
      <c r="E50" s="270"/>
      <c r="F50" s="217"/>
      <c r="G50" s="218"/>
      <c r="H50" s="218"/>
      <c r="I50" s="218"/>
      <c r="J50" s="217"/>
      <c r="K50" s="218"/>
      <c r="L50" s="218"/>
      <c r="M50" s="219"/>
      <c r="N50" s="220"/>
      <c r="O50" s="218"/>
      <c r="P50" s="218"/>
      <c r="Q50" s="221"/>
      <c r="R50" s="220"/>
      <c r="S50" s="218"/>
      <c r="T50" s="218"/>
      <c r="U50" s="221"/>
      <c r="V50" s="217"/>
      <c r="W50" s="218"/>
      <c r="X50" s="218"/>
      <c r="Y50" s="218"/>
      <c r="Z50" s="231" t="s">
        <v>26</v>
      </c>
      <c r="AA50" s="236"/>
    </row>
    <row r="51" spans="2:27" ht="33" hidden="1" thickBot="1" x14ac:dyDescent="0.6">
      <c r="B51" s="268"/>
      <c r="C51" s="268"/>
      <c r="D51" s="268"/>
      <c r="E51" s="270"/>
      <c r="F51" s="222"/>
      <c r="G51" s="223"/>
      <c r="H51" s="223"/>
      <c r="I51" s="223"/>
      <c r="J51" s="222"/>
      <c r="K51" s="223"/>
      <c r="L51" s="223"/>
      <c r="M51" s="224"/>
      <c r="N51" s="225"/>
      <c r="O51" s="223"/>
      <c r="P51" s="223"/>
      <c r="Q51" s="226"/>
      <c r="R51" s="225"/>
      <c r="S51" s="223"/>
      <c r="T51" s="223"/>
      <c r="U51" s="226"/>
      <c r="V51" s="222"/>
      <c r="W51" s="223"/>
      <c r="X51" s="223"/>
      <c r="Y51" s="223"/>
      <c r="Z51" s="232" t="s">
        <v>28</v>
      </c>
      <c r="AA51" s="236"/>
    </row>
    <row r="52" spans="2:27" x14ac:dyDescent="0.55000000000000004">
      <c r="B52" s="268"/>
      <c r="C52" s="268"/>
      <c r="D52" s="268"/>
      <c r="E52" s="270"/>
      <c r="F52" s="109">
        <f>IF(選手!C61&lt;&gt;"",選手!C61,"")</f>
        <v>60</v>
      </c>
      <c r="G52" s="105">
        <f>IF(選手!C60&lt;&gt;"",選手!C60,"")</f>
        <v>59</v>
      </c>
      <c r="H52" s="105">
        <f>IF(選手!C59&lt;&gt;"",選手!C59,"")</f>
        <v>58</v>
      </c>
      <c r="I52" s="105">
        <f>IF(選手!C58&lt;&gt;"",選手!C58,"")</f>
        <v>57</v>
      </c>
      <c r="J52" s="109">
        <f>IF(選手!C57&lt;&gt;"",選手!C57,"")</f>
        <v>56</v>
      </c>
      <c r="K52" s="105">
        <f>IF(選手!C56&lt;&gt;"",選手!C56,"")</f>
        <v>55</v>
      </c>
      <c r="L52" s="105">
        <f>IF(選手!C55&lt;&gt;"",選手!C55,"")</f>
        <v>54</v>
      </c>
      <c r="M52" s="106">
        <f>IF(選手!C54&lt;&gt;"",選手!C54,"")</f>
        <v>53</v>
      </c>
      <c r="N52" s="107">
        <f>IF(選手!C53&lt;&gt;"",選手!C53,"")</f>
        <v>52</v>
      </c>
      <c r="O52" s="105">
        <f>IF(選手!C52&lt;&gt;"",選手!C52,"")</f>
        <v>51</v>
      </c>
      <c r="P52" s="105">
        <f>IF(選手!C51&lt;&gt;"",選手!C51,"")</f>
        <v>50</v>
      </c>
      <c r="Q52" s="108">
        <f>IF(選手!C50&lt;&gt;"",選手!C50,"")</f>
        <v>49</v>
      </c>
      <c r="R52" s="107">
        <f>IF(選手!C49&lt;&gt;"",選手!C49,"")</f>
        <v>48</v>
      </c>
      <c r="S52" s="105">
        <f>IF(選手!C48&lt;&gt;"",選手!C48,"")</f>
        <v>47</v>
      </c>
      <c r="T52" s="105">
        <f>IF(選手!C47&lt;&gt;"",選手!C47,"")</f>
        <v>46</v>
      </c>
      <c r="U52" s="108">
        <f>IF(選手!C46&lt;&gt;"",選手!C46,"")</f>
        <v>45</v>
      </c>
      <c r="V52" s="109">
        <f>IF(選手!C45&lt;&gt;"",選手!C45,"")</f>
        <v>44</v>
      </c>
      <c r="W52" s="105">
        <f>IF(選手!C44&lt;&gt;"",選手!C44,"")</f>
        <v>43</v>
      </c>
      <c r="X52" s="105">
        <f>IF(選手!C43&lt;&gt;"",選手!C43,"")</f>
        <v>42</v>
      </c>
      <c r="Y52" s="105">
        <f>IF(選手!C42&lt;&gt;"",選手!C42,"")</f>
        <v>41</v>
      </c>
      <c r="Z52" s="233" t="s">
        <v>18</v>
      </c>
      <c r="AA52" s="236"/>
    </row>
    <row r="53" spans="2:27" x14ac:dyDescent="0.55000000000000004">
      <c r="B53" s="268"/>
      <c r="C53" s="268"/>
      <c r="D53" s="268"/>
      <c r="E53" s="270"/>
      <c r="F53" s="114" t="str">
        <f>IF(選手!E61&lt;&gt;"",選手!E61,"")</f>
        <v>女</v>
      </c>
      <c r="G53" s="110" t="str">
        <f>IF(選手!E60&lt;&gt;"",選手!E60,"")</f>
        <v>女</v>
      </c>
      <c r="H53" s="110" t="str">
        <f>IF(選手!E59&lt;&gt;"",選手!E59,"")</f>
        <v>女</v>
      </c>
      <c r="I53" s="110" t="str">
        <f>IF(選手!E58&lt;&gt;"",選手!E58,"")</f>
        <v>女</v>
      </c>
      <c r="J53" s="114" t="str">
        <f>IF(選手!E57&lt;&gt;"",選手!E57,"")</f>
        <v>男</v>
      </c>
      <c r="K53" s="110" t="str">
        <f>IF(選手!E56&lt;&gt;"",選手!E56,"")</f>
        <v>男</v>
      </c>
      <c r="L53" s="110" t="str">
        <f>IF(選手!E55&lt;&gt;"",選手!E55,"")</f>
        <v>男</v>
      </c>
      <c r="M53" s="111" t="str">
        <f>IF(選手!E54&lt;&gt;"",選手!E54,"")</f>
        <v>男</v>
      </c>
      <c r="N53" s="112" t="str">
        <f>IF(選手!E53&lt;&gt;"",選手!E53,"")</f>
        <v>男</v>
      </c>
      <c r="O53" s="110" t="str">
        <f>IF(選手!E52&lt;&gt;"",選手!E52,"")</f>
        <v>男</v>
      </c>
      <c r="P53" s="110" t="str">
        <f>IF(選手!E51&lt;&gt;"",選手!E51,"")</f>
        <v>男</v>
      </c>
      <c r="Q53" s="111" t="str">
        <f>IF(選手!E50&lt;&gt;"",選手!E50,"")</f>
        <v>男</v>
      </c>
      <c r="R53" s="112" t="str">
        <f>IF(選手!E49&lt;&gt;"",選手!E49,"")</f>
        <v>女</v>
      </c>
      <c r="S53" s="110" t="str">
        <f>IF(選手!E48&lt;&gt;"",選手!E48,"")</f>
        <v>女</v>
      </c>
      <c r="T53" s="110" t="str">
        <f>IF(選手!E47&lt;&gt;"",選手!E47,"")</f>
        <v>女</v>
      </c>
      <c r="U53" s="113" t="str">
        <f>IF(選手!E46&lt;&gt;"",選手!E46,"")</f>
        <v>女</v>
      </c>
      <c r="V53" s="114" t="str">
        <f>IF(選手!E45&lt;&gt;"",選手!E45,"")</f>
        <v>男</v>
      </c>
      <c r="W53" s="110" t="str">
        <f>IF(選手!E44&lt;&gt;"",選手!E44,"")</f>
        <v>男</v>
      </c>
      <c r="X53" s="110" t="str">
        <f>IF(選手!E43&lt;&gt;"",選手!E43,"")</f>
        <v>男</v>
      </c>
      <c r="Y53" s="110" t="str">
        <f>IF(選手!E42&lt;&gt;"",選手!E42,"")</f>
        <v>男</v>
      </c>
      <c r="Z53" s="231" t="s">
        <v>1</v>
      </c>
      <c r="AA53" s="236"/>
    </row>
    <row r="54" spans="2:27" ht="190" customHeight="1" x14ac:dyDescent="0.55000000000000004">
      <c r="B54" s="268"/>
      <c r="C54" s="268"/>
      <c r="D54" s="268"/>
      <c r="E54" s="270"/>
      <c r="F54" s="120" t="str">
        <f>IF(選手!D61&lt;&gt;"",選手!D61,"")</f>
        <v>原 由美子</v>
      </c>
      <c r="G54" s="116" t="str">
        <f>IF(選手!D60&lt;&gt;"",選手!D60,"")</f>
        <v>瀬山 博子</v>
      </c>
      <c r="H54" s="116" t="str">
        <f>IF(選手!D59&lt;&gt;"",選手!D59,"")</f>
        <v>加藤 節子</v>
      </c>
      <c r="I54" s="116" t="str">
        <f>IF(選手!D58&lt;&gt;"",選手!D58,"")</f>
        <v>谷口 弥生</v>
      </c>
      <c r="J54" s="120" t="str">
        <f>IF(選手!D57&lt;&gt;"",選手!D57,"")</f>
        <v>長江 辰彦</v>
      </c>
      <c r="K54" s="116" t="str">
        <f>IF(選手!D56&lt;&gt;"",選手!D56,"")</f>
        <v>加藤 広史</v>
      </c>
      <c r="L54" s="116" t="str">
        <f>IF(選手!D55&lt;&gt;"",選手!D55,"")</f>
        <v>野村 清美</v>
      </c>
      <c r="M54" s="117" t="str">
        <f>IF(選手!D54&lt;&gt;"",選手!D54,"")</f>
        <v>矢島 悟朗</v>
      </c>
      <c r="N54" s="118" t="str">
        <f>IF(選手!D53&lt;&gt;"",選手!D53,"")</f>
        <v>木村 憲司</v>
      </c>
      <c r="O54" s="116" t="str">
        <f>IF(選手!D52&lt;&gt;"",選手!D52,"")</f>
        <v>小沢 浩寿</v>
      </c>
      <c r="P54" s="116" t="str">
        <f>IF(選手!D51&lt;&gt;"",選手!D51,"")</f>
        <v>平野 良則</v>
      </c>
      <c r="Q54" s="119" t="str">
        <f>IF(選手!D50&lt;&gt;"",選手!D50,"")</f>
        <v>門矢 誠</v>
      </c>
      <c r="R54" s="118" t="str">
        <f>IF(選手!D49&lt;&gt;"",選手!D49,"")</f>
        <v>白井 千鶴子</v>
      </c>
      <c r="S54" s="116" t="str">
        <f>IF(選手!D48&lt;&gt;"",選手!D48,"")</f>
        <v>荒川 花子</v>
      </c>
      <c r="T54" s="116" t="str">
        <f>IF(選手!D47&lt;&gt;"",選手!D47,"")</f>
        <v>中神 佐知子</v>
      </c>
      <c r="U54" s="119" t="str">
        <f>IF(選手!D46&lt;&gt;"",選手!D46,"")</f>
        <v>村瀬 沙織</v>
      </c>
      <c r="V54" s="120" t="str">
        <f>IF(選手!D45&lt;&gt;"",選手!D45,"")</f>
        <v>加藤 忠人</v>
      </c>
      <c r="W54" s="116" t="str">
        <f>IF(選手!D44&lt;&gt;"",選手!D44,"")</f>
        <v>大槻 成実</v>
      </c>
      <c r="X54" s="116" t="str">
        <f>IF(選手!D43&lt;&gt;"",選手!D43,"")</f>
        <v>杉原 伸哉</v>
      </c>
      <c r="Y54" s="116" t="str">
        <f>IF(選手!D42&lt;&gt;"",選手!D42,"")</f>
        <v>丹羽 泰生</v>
      </c>
      <c r="Z54" s="115" t="s">
        <v>58</v>
      </c>
      <c r="AA54" s="237"/>
    </row>
    <row r="56" spans="2:27" x14ac:dyDescent="0.55000000000000004">
      <c r="B56" s="181" t="str">
        <f>選手!B62</f>
        <v>ダミーA</v>
      </c>
      <c r="C56" s="179"/>
      <c r="D56" s="179"/>
      <c r="E56" s="179"/>
    </row>
    <row r="57" spans="2:27" x14ac:dyDescent="0.55000000000000004">
      <c r="B57" s="175">
        <f>SUM(B59:E59)</f>
        <v>0</v>
      </c>
      <c r="C57" s="175"/>
      <c r="D57" s="175"/>
      <c r="E57" s="178"/>
    </row>
    <row r="58" spans="2:27" x14ac:dyDescent="0.55000000000000004">
      <c r="B58" s="80">
        <f>B59+0.1+(IF(B69="〇",1,0)*0.01)+(IF(B68="〇",1,0)*0.001)+(IF(B67="〇",1,0)*0.0001)+(IF(B66="〇",1,0)*0.00001)+(IF(B64="〇",1,0)*0.000001)+(IF(B63="〇",1,0)*0.0000001)+(IF(B62="〇",1,0)*0.00000001)+(IF(B61="〇",1,0)*0.000000001)</f>
        <v>0.1</v>
      </c>
      <c r="C58" s="80">
        <f t="shared" ref="C58:F58" si="24">C59+0.1+(IF(C69="〇",1,0)*0.01)+(IF(C68="〇",1,0)*0.001)+(IF(C67="〇",1,0)*0.0001)+(IF(C66="〇",1,0)*0.00001)+(IF(C64="〇",1,0)*0.000001)+(IF(C63="〇",1,0)*0.0000001)+(IF(C62="〇",1,0)*0.00000001)+(IF(C61="〇",1,0)*0.000000001)</f>
        <v>0.1</v>
      </c>
      <c r="D58" s="80">
        <f t="shared" si="24"/>
        <v>0.1</v>
      </c>
      <c r="E58" s="81">
        <f t="shared" si="24"/>
        <v>0.1</v>
      </c>
    </row>
    <row r="59" spans="2:27" x14ac:dyDescent="0.55000000000000004">
      <c r="B59" s="85">
        <f>B60+B65</f>
        <v>0</v>
      </c>
      <c r="C59" s="85">
        <f t="shared" ref="C59:E59" si="25">C60+C65</f>
        <v>0</v>
      </c>
      <c r="D59" s="85">
        <f t="shared" si="25"/>
        <v>0</v>
      </c>
      <c r="E59" s="86">
        <f t="shared" si="25"/>
        <v>0</v>
      </c>
    </row>
    <row r="60" spans="2:27" x14ac:dyDescent="0.55000000000000004">
      <c r="B60" s="90">
        <f>COUNTIF(B61:B64,"〇")</f>
        <v>0</v>
      </c>
      <c r="C60" s="90">
        <f t="shared" ref="C60:E60" si="26">COUNTIF(C61:C64,"〇")</f>
        <v>0</v>
      </c>
      <c r="D60" s="90">
        <f t="shared" si="26"/>
        <v>0</v>
      </c>
      <c r="E60" s="91">
        <f t="shared" si="26"/>
        <v>0</v>
      </c>
    </row>
    <row r="61" spans="2:27" x14ac:dyDescent="0.55000000000000004">
      <c r="B61" s="95"/>
      <c r="C61" s="95"/>
      <c r="D61" s="95"/>
      <c r="E61" s="96"/>
    </row>
    <row r="62" spans="2:27" x14ac:dyDescent="0.55000000000000004">
      <c r="B62" s="95"/>
      <c r="C62" s="95"/>
      <c r="D62" s="95"/>
      <c r="E62" s="96"/>
    </row>
    <row r="63" spans="2:27" x14ac:dyDescent="0.55000000000000004">
      <c r="B63" s="95"/>
      <c r="C63" s="95"/>
      <c r="D63" s="95"/>
      <c r="E63" s="96"/>
    </row>
    <row r="64" spans="2:27" x14ac:dyDescent="0.55000000000000004">
      <c r="B64" s="95"/>
      <c r="C64" s="95"/>
      <c r="D64" s="95"/>
      <c r="E64" s="96"/>
    </row>
    <row r="65" spans="2:5" x14ac:dyDescent="0.55000000000000004">
      <c r="B65" s="90">
        <f>COUNTIF(B66:B69,"〇")</f>
        <v>0</v>
      </c>
      <c r="C65" s="90">
        <f t="shared" ref="C65:E65" si="27">COUNTIF(C66:C69,"〇")</f>
        <v>0</v>
      </c>
      <c r="D65" s="90">
        <f t="shared" si="27"/>
        <v>0</v>
      </c>
      <c r="E65" s="91">
        <f t="shared" si="27"/>
        <v>0</v>
      </c>
    </row>
    <row r="66" spans="2:5" x14ac:dyDescent="0.55000000000000004">
      <c r="B66" s="95"/>
      <c r="C66" s="95"/>
      <c r="D66" s="95"/>
      <c r="E66" s="96"/>
    </row>
    <row r="67" spans="2:5" x14ac:dyDescent="0.55000000000000004">
      <c r="B67" s="95"/>
      <c r="C67" s="95"/>
      <c r="D67" s="95"/>
      <c r="E67" s="96"/>
    </row>
    <row r="68" spans="2:5" x14ac:dyDescent="0.55000000000000004">
      <c r="B68" s="95"/>
      <c r="C68" s="95"/>
      <c r="D68" s="95"/>
      <c r="E68" s="96"/>
    </row>
    <row r="69" spans="2:5" ht="33" thickBot="1" x14ac:dyDescent="0.6">
      <c r="B69" s="100"/>
      <c r="C69" s="100"/>
      <c r="D69" s="100"/>
      <c r="E69" s="101"/>
    </row>
    <row r="70" spans="2:5" x14ac:dyDescent="0.55000000000000004">
      <c r="B70" s="105">
        <f>IF(選手!C65&lt;&gt;"",選手!C65,"")</f>
        <v>64</v>
      </c>
      <c r="C70" s="105">
        <f>IF(選手!C64&lt;&gt;"",選手!C64,"")</f>
        <v>63</v>
      </c>
      <c r="D70" s="105">
        <f>IF(選手!C63&lt;&gt;"",選手!C63,"")</f>
        <v>62</v>
      </c>
      <c r="E70" s="106">
        <f>IF(選手!C62&lt;&gt;"",選手!C62,"")</f>
        <v>61</v>
      </c>
    </row>
    <row r="71" spans="2:5" x14ac:dyDescent="0.55000000000000004">
      <c r="B71" s="110" t="str">
        <f>IF(選手!E65&lt;&gt;"",選手!E65,"")</f>
        <v/>
      </c>
      <c r="C71" s="110" t="str">
        <f>IF(選手!E64&lt;&gt;"",選手!E64,"")</f>
        <v/>
      </c>
      <c r="D71" s="110" t="str">
        <f>IF(選手!E63&lt;&gt;"",選手!E63,"")</f>
        <v/>
      </c>
      <c r="E71" s="111" t="str">
        <f>IF(選手!E62&lt;&gt;"",選手!E62,"")</f>
        <v/>
      </c>
    </row>
    <row r="72" spans="2:5" x14ac:dyDescent="0.55000000000000004">
      <c r="B72" s="116" t="str">
        <f>IF(選手!D65&lt;&gt;"",選手!D65,"")</f>
        <v/>
      </c>
      <c r="C72" s="116" t="str">
        <f>IF(選手!D64&lt;&gt;"",選手!D64,"")</f>
        <v/>
      </c>
      <c r="D72" s="116" t="str">
        <f>IF(選手!D63&lt;&gt;"",選手!D63,"")</f>
        <v/>
      </c>
      <c r="E72" s="117" t="str">
        <f>IF(選手!D62&lt;&gt;"",選手!D62,"")</f>
        <v/>
      </c>
    </row>
  </sheetData>
  <mergeCells count="35">
    <mergeCell ref="B56:E56"/>
    <mergeCell ref="B57:E57"/>
    <mergeCell ref="AA2:AA18"/>
    <mergeCell ref="AA20:AA36"/>
    <mergeCell ref="AA38:AA54"/>
    <mergeCell ref="F38:I38"/>
    <mergeCell ref="J38:M38"/>
    <mergeCell ref="N38:Q38"/>
    <mergeCell ref="R38:U38"/>
    <mergeCell ref="V38:Y38"/>
    <mergeCell ref="F39:I39"/>
    <mergeCell ref="J39:M39"/>
    <mergeCell ref="N39:Q39"/>
    <mergeCell ref="R39:U39"/>
    <mergeCell ref="V39:Y39"/>
    <mergeCell ref="J20:M20"/>
    <mergeCell ref="N20:Q20"/>
    <mergeCell ref="R20:U20"/>
    <mergeCell ref="V20:Y20"/>
    <mergeCell ref="J21:M21"/>
    <mergeCell ref="N21:Q21"/>
    <mergeCell ref="R21:U21"/>
    <mergeCell ref="V21:Y21"/>
    <mergeCell ref="B3:E3"/>
    <mergeCell ref="F3:I3"/>
    <mergeCell ref="J3:M3"/>
    <mergeCell ref="N3:Q3"/>
    <mergeCell ref="R3:U3"/>
    <mergeCell ref="V3:Y3"/>
    <mergeCell ref="B2:E2"/>
    <mergeCell ref="F2:I2"/>
    <mergeCell ref="J2:M2"/>
    <mergeCell ref="N2:Q2"/>
    <mergeCell ref="R2:U2"/>
    <mergeCell ref="V2:Y2"/>
  </mergeCells>
  <phoneticPr fontId="1"/>
  <conditionalFormatting sqref="B71:E71 F53:Y53 B17:AA17 J35:Y35">
    <cfRule type="cellIs" dxfId="1" priority="1" operator="equal">
      <formula>"男"</formula>
    </cfRule>
    <cfRule type="cellIs" dxfId="0" priority="2" operator="equal">
      <formula>"女"</formula>
    </cfRule>
  </conditionalFormatting>
  <dataValidations disablePrompts="1" count="1">
    <dataValidation type="list" allowBlank="1" showInputMessage="1" showErrorMessage="1" sqref="B12:AA15 B7:AA10 F48:Y51 B66:E69 F43:Y46 B61:E64 R30:Y33 J30:Q33 R25:Y28 J25:Q28" xr:uid="{99DBE11B-6AB9-45E3-8D95-44C77424792C}">
      <formula1>"〇,×"</formula1>
    </dataValidation>
  </dataValidations>
  <pageMargins left="0.25" right="0.25" top="0.75" bottom="0.75" header="0.3" footer="0.3"/>
  <pageSetup paperSize="9" scale="48" orientation="landscape" r:id="rId1"/>
  <headerFooter>
    <oddHeader>&amp;C&amp;"BIZ UDPゴシック,標準"&amp;36令和4年度（2022年度） 東尾張エリア弓道大会　立順表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E5D1-556F-467B-88CA-F154E6319EA0}">
  <dimension ref="A2:O63"/>
  <sheetViews>
    <sheetView showGridLines="0" view="pageLayout" zoomScaleNormal="100" zoomScaleSheetLayoutView="100" workbookViewId="0">
      <selection activeCell="AA2" activeCellId="2" sqref="F38:I54 AA20:AA36 AA2:AA18"/>
    </sheetView>
  </sheetViews>
  <sheetFormatPr defaultRowHeight="13.5" x14ac:dyDescent="0.3"/>
  <cols>
    <col min="1" max="1" width="5.58203125" style="238" customWidth="1"/>
    <col min="2" max="2" width="5.58203125" style="239" customWidth="1"/>
    <col min="3" max="3" width="11.58203125" style="239" customWidth="1"/>
    <col min="4" max="4" width="15.58203125" style="238" customWidth="1"/>
    <col min="5" max="5" width="4.5" style="239" bestFit="1" customWidth="1"/>
    <col min="6" max="7" width="6.1640625" style="238" bestFit="1" customWidth="1"/>
    <col min="8" max="15" width="4.5" style="238" bestFit="1" customWidth="1"/>
    <col min="16" max="16384" width="8.6640625" style="238"/>
  </cols>
  <sheetData>
    <row r="2" spans="1:15" x14ac:dyDescent="0.3">
      <c r="A2" s="257" t="s">
        <v>133</v>
      </c>
      <c r="B2" s="257" t="s">
        <v>134</v>
      </c>
      <c r="C2" s="257" t="s">
        <v>135</v>
      </c>
      <c r="D2" s="257" t="s">
        <v>136</v>
      </c>
      <c r="E2" s="257" t="s">
        <v>137</v>
      </c>
      <c r="F2" s="252" t="s">
        <v>138</v>
      </c>
      <c r="G2" s="252" t="s">
        <v>140</v>
      </c>
      <c r="H2" s="253" t="s">
        <v>141</v>
      </c>
      <c r="I2" s="253"/>
      <c r="J2" s="253" t="s">
        <v>142</v>
      </c>
      <c r="K2" s="253"/>
      <c r="L2" s="253" t="s">
        <v>143</v>
      </c>
      <c r="M2" s="253"/>
      <c r="N2" s="253" t="s">
        <v>144</v>
      </c>
      <c r="O2" s="253"/>
    </row>
    <row r="3" spans="1:15" x14ac:dyDescent="0.3">
      <c r="A3" s="257"/>
      <c r="B3" s="257"/>
      <c r="C3" s="257"/>
      <c r="D3" s="257"/>
      <c r="E3" s="257"/>
      <c r="F3" s="252" t="s">
        <v>139</v>
      </c>
      <c r="G3" s="252" t="s">
        <v>139</v>
      </c>
      <c r="H3" s="252" t="s">
        <v>145</v>
      </c>
      <c r="I3" s="252" t="s">
        <v>147</v>
      </c>
      <c r="J3" s="252" t="s">
        <v>145</v>
      </c>
      <c r="K3" s="252" t="s">
        <v>147</v>
      </c>
      <c r="L3" s="252" t="s">
        <v>145</v>
      </c>
      <c r="M3" s="252" t="s">
        <v>147</v>
      </c>
      <c r="N3" s="252" t="s">
        <v>145</v>
      </c>
      <c r="O3" s="252" t="s">
        <v>146</v>
      </c>
    </row>
    <row r="4" spans="1:15" x14ac:dyDescent="0.3">
      <c r="A4" s="240">
        <v>1</v>
      </c>
      <c r="B4" s="242">
        <v>1</v>
      </c>
      <c r="C4" s="240" t="s">
        <v>39</v>
      </c>
      <c r="D4" s="251" t="s">
        <v>60</v>
      </c>
      <c r="E4" s="242" t="s">
        <v>30</v>
      </c>
      <c r="F4" s="241"/>
      <c r="G4" s="241"/>
      <c r="H4" s="242" t="s">
        <v>149</v>
      </c>
      <c r="I4" s="242" t="s">
        <v>148</v>
      </c>
      <c r="J4" s="242"/>
      <c r="K4" s="242"/>
      <c r="L4" s="245" t="s">
        <v>148</v>
      </c>
      <c r="M4" s="254" t="s">
        <v>148</v>
      </c>
      <c r="N4" s="254"/>
      <c r="O4" s="246"/>
    </row>
    <row r="5" spans="1:15" x14ac:dyDescent="0.3">
      <c r="A5" s="240"/>
      <c r="B5" s="242">
        <v>2</v>
      </c>
      <c r="C5" s="240"/>
      <c r="D5" s="251" t="s">
        <v>61</v>
      </c>
      <c r="E5" s="242" t="s">
        <v>30</v>
      </c>
      <c r="F5" s="241"/>
      <c r="G5" s="241"/>
      <c r="H5" s="242" t="s">
        <v>148</v>
      </c>
      <c r="I5" s="242" t="s">
        <v>148</v>
      </c>
      <c r="J5" s="242"/>
      <c r="K5" s="242"/>
      <c r="L5" s="247" t="s">
        <v>148</v>
      </c>
      <c r="M5" s="255" t="s">
        <v>148</v>
      </c>
      <c r="N5" s="255"/>
      <c r="O5" s="248"/>
    </row>
    <row r="6" spans="1:15" x14ac:dyDescent="0.3">
      <c r="A6" s="240"/>
      <c r="B6" s="242">
        <v>3</v>
      </c>
      <c r="C6" s="240"/>
      <c r="D6" s="251" t="s">
        <v>62</v>
      </c>
      <c r="E6" s="242" t="s">
        <v>30</v>
      </c>
      <c r="F6" s="241"/>
      <c r="G6" s="241"/>
      <c r="H6" s="242" t="s">
        <v>148</v>
      </c>
      <c r="I6" s="242" t="s">
        <v>148</v>
      </c>
      <c r="J6" s="242"/>
      <c r="K6" s="242"/>
      <c r="L6" s="247" t="s">
        <v>148</v>
      </c>
      <c r="M6" s="255" t="s">
        <v>148</v>
      </c>
      <c r="N6" s="255"/>
      <c r="O6" s="248"/>
    </row>
    <row r="7" spans="1:15" x14ac:dyDescent="0.3">
      <c r="A7" s="240"/>
      <c r="B7" s="242">
        <v>4</v>
      </c>
      <c r="C7" s="240"/>
      <c r="D7" s="251" t="s">
        <v>63</v>
      </c>
      <c r="E7" s="242" t="s">
        <v>30</v>
      </c>
      <c r="F7" s="241"/>
      <c r="G7" s="241"/>
      <c r="H7" s="242" t="s">
        <v>148</v>
      </c>
      <c r="I7" s="242" t="s">
        <v>148</v>
      </c>
      <c r="J7" s="242"/>
      <c r="K7" s="242"/>
      <c r="L7" s="249" t="s">
        <v>148</v>
      </c>
      <c r="M7" s="256" t="s">
        <v>148</v>
      </c>
      <c r="N7" s="256"/>
      <c r="O7" s="250"/>
    </row>
    <row r="8" spans="1:15" x14ac:dyDescent="0.3">
      <c r="A8" s="240">
        <v>2</v>
      </c>
      <c r="B8" s="242">
        <v>5</v>
      </c>
      <c r="C8" s="240" t="s">
        <v>46</v>
      </c>
      <c r="D8" s="251" t="s">
        <v>64</v>
      </c>
      <c r="E8" s="243" t="s">
        <v>29</v>
      </c>
      <c r="F8" s="241"/>
      <c r="G8" s="241"/>
      <c r="H8" s="242"/>
      <c r="I8" s="242"/>
      <c r="J8" s="242" t="s">
        <v>148</v>
      </c>
      <c r="K8" s="242" t="s">
        <v>148</v>
      </c>
      <c r="L8" s="245"/>
      <c r="M8" s="254"/>
      <c r="N8" s="254" t="s">
        <v>148</v>
      </c>
      <c r="O8" s="246" t="s">
        <v>148</v>
      </c>
    </row>
    <row r="9" spans="1:15" x14ac:dyDescent="0.3">
      <c r="A9" s="240"/>
      <c r="B9" s="242">
        <v>6</v>
      </c>
      <c r="C9" s="240"/>
      <c r="D9" s="251" t="s">
        <v>65</v>
      </c>
      <c r="E9" s="243" t="s">
        <v>29</v>
      </c>
      <c r="F9" s="241"/>
      <c r="G9" s="241"/>
      <c r="H9" s="242"/>
      <c r="I9" s="242"/>
      <c r="J9" s="242" t="s">
        <v>148</v>
      </c>
      <c r="K9" s="242" t="s">
        <v>148</v>
      </c>
      <c r="L9" s="247"/>
      <c r="M9" s="255"/>
      <c r="N9" s="255" t="s">
        <v>148</v>
      </c>
      <c r="O9" s="248" t="s">
        <v>148</v>
      </c>
    </row>
    <row r="10" spans="1:15" x14ac:dyDescent="0.3">
      <c r="A10" s="240"/>
      <c r="B10" s="242">
        <v>7</v>
      </c>
      <c r="C10" s="240"/>
      <c r="D10" s="251" t="s">
        <v>66</v>
      </c>
      <c r="E10" s="243" t="s">
        <v>29</v>
      </c>
      <c r="F10" s="241"/>
      <c r="G10" s="241"/>
      <c r="H10" s="242"/>
      <c r="I10" s="242"/>
      <c r="J10" s="242" t="s">
        <v>148</v>
      </c>
      <c r="K10" s="242" t="s">
        <v>148</v>
      </c>
      <c r="L10" s="247"/>
      <c r="M10" s="255"/>
      <c r="N10" s="255" t="s">
        <v>148</v>
      </c>
      <c r="O10" s="248" t="s">
        <v>148</v>
      </c>
    </row>
    <row r="11" spans="1:15" x14ac:dyDescent="0.3">
      <c r="A11" s="240"/>
      <c r="B11" s="242">
        <v>8</v>
      </c>
      <c r="C11" s="240"/>
      <c r="D11" s="251" t="s">
        <v>67</v>
      </c>
      <c r="E11" s="243" t="s">
        <v>29</v>
      </c>
      <c r="F11" s="241"/>
      <c r="G11" s="241"/>
      <c r="H11" s="242"/>
      <c r="I11" s="242"/>
      <c r="J11" s="242" t="s">
        <v>148</v>
      </c>
      <c r="K11" s="242" t="s">
        <v>148</v>
      </c>
      <c r="L11" s="249"/>
      <c r="M11" s="256"/>
      <c r="N11" s="256" t="s">
        <v>148</v>
      </c>
      <c r="O11" s="250" t="s">
        <v>148</v>
      </c>
    </row>
    <row r="12" spans="1:15" x14ac:dyDescent="0.3">
      <c r="A12" s="240">
        <v>3</v>
      </c>
      <c r="B12" s="242">
        <v>9</v>
      </c>
      <c r="C12" s="240" t="s">
        <v>49</v>
      </c>
      <c r="D12" s="251" t="s">
        <v>92</v>
      </c>
      <c r="E12" s="242" t="s">
        <v>30</v>
      </c>
      <c r="F12" s="241"/>
      <c r="G12" s="241"/>
      <c r="H12" s="242" t="s">
        <v>148</v>
      </c>
      <c r="I12" s="242" t="s">
        <v>148</v>
      </c>
      <c r="J12" s="242"/>
      <c r="K12" s="242"/>
      <c r="L12" s="245" t="s">
        <v>148</v>
      </c>
      <c r="M12" s="254" t="s">
        <v>148</v>
      </c>
      <c r="N12" s="254"/>
      <c r="O12" s="246"/>
    </row>
    <row r="13" spans="1:15" x14ac:dyDescent="0.3">
      <c r="A13" s="240"/>
      <c r="B13" s="242">
        <v>10</v>
      </c>
      <c r="C13" s="240"/>
      <c r="D13" s="251" t="s">
        <v>93</v>
      </c>
      <c r="E13" s="242" t="s">
        <v>30</v>
      </c>
      <c r="F13" s="241"/>
      <c r="G13" s="241"/>
      <c r="H13" s="242" t="s">
        <v>148</v>
      </c>
      <c r="I13" s="242" t="s">
        <v>148</v>
      </c>
      <c r="J13" s="242"/>
      <c r="K13" s="242"/>
      <c r="L13" s="247" t="s">
        <v>148</v>
      </c>
      <c r="M13" s="255" t="s">
        <v>148</v>
      </c>
      <c r="N13" s="255"/>
      <c r="O13" s="248"/>
    </row>
    <row r="14" spans="1:15" x14ac:dyDescent="0.3">
      <c r="A14" s="240"/>
      <c r="B14" s="242">
        <v>11</v>
      </c>
      <c r="C14" s="240"/>
      <c r="D14" s="251" t="s">
        <v>94</v>
      </c>
      <c r="E14" s="242" t="s">
        <v>30</v>
      </c>
      <c r="F14" s="241"/>
      <c r="G14" s="241"/>
      <c r="H14" s="242" t="s">
        <v>148</v>
      </c>
      <c r="I14" s="242" t="s">
        <v>148</v>
      </c>
      <c r="J14" s="242"/>
      <c r="K14" s="242"/>
      <c r="L14" s="247" t="s">
        <v>148</v>
      </c>
      <c r="M14" s="255" t="s">
        <v>148</v>
      </c>
      <c r="N14" s="255"/>
      <c r="O14" s="248"/>
    </row>
    <row r="15" spans="1:15" x14ac:dyDescent="0.3">
      <c r="A15" s="240"/>
      <c r="B15" s="242">
        <v>12</v>
      </c>
      <c r="C15" s="240"/>
      <c r="D15" s="251" t="s">
        <v>95</v>
      </c>
      <c r="E15" s="242" t="s">
        <v>30</v>
      </c>
      <c r="F15" s="241"/>
      <c r="G15" s="241"/>
      <c r="H15" s="242" t="s">
        <v>148</v>
      </c>
      <c r="I15" s="242" t="s">
        <v>148</v>
      </c>
      <c r="J15" s="242"/>
      <c r="K15" s="242"/>
      <c r="L15" s="249" t="s">
        <v>148</v>
      </c>
      <c r="M15" s="256" t="s">
        <v>148</v>
      </c>
      <c r="N15" s="256"/>
      <c r="O15" s="250"/>
    </row>
    <row r="16" spans="1:15" x14ac:dyDescent="0.3">
      <c r="A16" s="240">
        <v>4</v>
      </c>
      <c r="B16" s="242">
        <v>13</v>
      </c>
      <c r="C16" s="240" t="s">
        <v>50</v>
      </c>
      <c r="D16" s="251" t="s">
        <v>96</v>
      </c>
      <c r="E16" s="243" t="s">
        <v>29</v>
      </c>
      <c r="F16" s="241"/>
      <c r="G16" s="241"/>
      <c r="H16" s="242"/>
      <c r="I16" s="242"/>
      <c r="J16" s="242" t="s">
        <v>148</v>
      </c>
      <c r="K16" s="242" t="s">
        <v>148</v>
      </c>
      <c r="L16" s="245"/>
      <c r="M16" s="254"/>
      <c r="N16" s="254" t="s">
        <v>148</v>
      </c>
      <c r="O16" s="246" t="s">
        <v>148</v>
      </c>
    </row>
    <row r="17" spans="1:15" x14ac:dyDescent="0.3">
      <c r="A17" s="240"/>
      <c r="B17" s="242">
        <v>14</v>
      </c>
      <c r="C17" s="240"/>
      <c r="D17" s="251" t="s">
        <v>97</v>
      </c>
      <c r="E17" s="243" t="s">
        <v>29</v>
      </c>
      <c r="F17" s="241"/>
      <c r="G17" s="241"/>
      <c r="H17" s="242"/>
      <c r="I17" s="242"/>
      <c r="J17" s="242" t="s">
        <v>148</v>
      </c>
      <c r="K17" s="242" t="s">
        <v>148</v>
      </c>
      <c r="L17" s="247"/>
      <c r="M17" s="255"/>
      <c r="N17" s="255" t="s">
        <v>148</v>
      </c>
      <c r="O17" s="248" t="s">
        <v>148</v>
      </c>
    </row>
    <row r="18" spans="1:15" x14ac:dyDescent="0.3">
      <c r="A18" s="240"/>
      <c r="B18" s="242">
        <v>15</v>
      </c>
      <c r="C18" s="240"/>
      <c r="D18" s="251" t="s">
        <v>98</v>
      </c>
      <c r="E18" s="243" t="s">
        <v>29</v>
      </c>
      <c r="F18" s="241"/>
      <c r="G18" s="241"/>
      <c r="H18" s="242"/>
      <c r="I18" s="242"/>
      <c r="J18" s="242" t="s">
        <v>148</v>
      </c>
      <c r="K18" s="242" t="s">
        <v>148</v>
      </c>
      <c r="L18" s="247"/>
      <c r="M18" s="255"/>
      <c r="N18" s="255" t="s">
        <v>148</v>
      </c>
      <c r="O18" s="248" t="s">
        <v>148</v>
      </c>
    </row>
    <row r="19" spans="1:15" x14ac:dyDescent="0.3">
      <c r="A19" s="240"/>
      <c r="B19" s="242">
        <v>16</v>
      </c>
      <c r="C19" s="240"/>
      <c r="D19" s="251" t="s">
        <v>99</v>
      </c>
      <c r="E19" s="243" t="s">
        <v>29</v>
      </c>
      <c r="F19" s="241"/>
      <c r="G19" s="241"/>
      <c r="H19" s="242"/>
      <c r="I19" s="242"/>
      <c r="J19" s="242" t="s">
        <v>148</v>
      </c>
      <c r="K19" s="242" t="s">
        <v>148</v>
      </c>
      <c r="L19" s="249"/>
      <c r="M19" s="256"/>
      <c r="N19" s="256" t="s">
        <v>148</v>
      </c>
      <c r="O19" s="250" t="s">
        <v>148</v>
      </c>
    </row>
    <row r="20" spans="1:15" x14ac:dyDescent="0.3">
      <c r="A20" s="240">
        <v>5</v>
      </c>
      <c r="B20" s="242">
        <v>17</v>
      </c>
      <c r="C20" s="240" t="s">
        <v>42</v>
      </c>
      <c r="D20" s="251" t="s">
        <v>84</v>
      </c>
      <c r="E20" s="242" t="s">
        <v>30</v>
      </c>
      <c r="F20" s="241"/>
      <c r="G20" s="241"/>
      <c r="H20" s="242" t="s">
        <v>148</v>
      </c>
      <c r="I20" s="242" t="s">
        <v>148</v>
      </c>
      <c r="J20" s="242"/>
      <c r="K20" s="242"/>
      <c r="L20" s="245" t="s">
        <v>148</v>
      </c>
      <c r="M20" s="254" t="s">
        <v>148</v>
      </c>
      <c r="N20" s="254"/>
      <c r="O20" s="246"/>
    </row>
    <row r="21" spans="1:15" x14ac:dyDescent="0.3">
      <c r="A21" s="240"/>
      <c r="B21" s="242">
        <v>18</v>
      </c>
      <c r="C21" s="240"/>
      <c r="D21" s="251" t="s">
        <v>85</v>
      </c>
      <c r="E21" s="242" t="s">
        <v>30</v>
      </c>
      <c r="F21" s="241"/>
      <c r="G21" s="241"/>
      <c r="H21" s="242" t="s">
        <v>148</v>
      </c>
      <c r="I21" s="242" t="s">
        <v>148</v>
      </c>
      <c r="J21" s="242"/>
      <c r="K21" s="242"/>
      <c r="L21" s="247" t="s">
        <v>148</v>
      </c>
      <c r="M21" s="255" t="s">
        <v>148</v>
      </c>
      <c r="N21" s="255"/>
      <c r="O21" s="248"/>
    </row>
    <row r="22" spans="1:15" x14ac:dyDescent="0.3">
      <c r="A22" s="240"/>
      <c r="B22" s="242">
        <v>19</v>
      </c>
      <c r="C22" s="240"/>
      <c r="D22" s="251" t="s">
        <v>86</v>
      </c>
      <c r="E22" s="242" t="s">
        <v>30</v>
      </c>
      <c r="F22" s="241"/>
      <c r="G22" s="241"/>
      <c r="H22" s="242" t="s">
        <v>148</v>
      </c>
      <c r="I22" s="242" t="s">
        <v>148</v>
      </c>
      <c r="J22" s="242"/>
      <c r="K22" s="242"/>
      <c r="L22" s="247" t="s">
        <v>148</v>
      </c>
      <c r="M22" s="255" t="s">
        <v>148</v>
      </c>
      <c r="N22" s="255"/>
      <c r="O22" s="248"/>
    </row>
    <row r="23" spans="1:15" x14ac:dyDescent="0.3">
      <c r="A23" s="240"/>
      <c r="B23" s="242">
        <v>20</v>
      </c>
      <c r="C23" s="240"/>
      <c r="D23" s="251" t="s">
        <v>87</v>
      </c>
      <c r="E23" s="242" t="s">
        <v>30</v>
      </c>
      <c r="F23" s="241"/>
      <c r="G23" s="241"/>
      <c r="H23" s="242" t="s">
        <v>148</v>
      </c>
      <c r="I23" s="242" t="s">
        <v>148</v>
      </c>
      <c r="J23" s="242"/>
      <c r="K23" s="242"/>
      <c r="L23" s="249" t="s">
        <v>148</v>
      </c>
      <c r="M23" s="256" t="s">
        <v>148</v>
      </c>
      <c r="N23" s="256"/>
      <c r="O23" s="250"/>
    </row>
    <row r="24" spans="1:15" x14ac:dyDescent="0.3">
      <c r="A24" s="240">
        <v>6</v>
      </c>
      <c r="B24" s="242">
        <v>21</v>
      </c>
      <c r="C24" s="240" t="s">
        <v>44</v>
      </c>
      <c r="D24" s="251" t="s">
        <v>88</v>
      </c>
      <c r="E24" s="243" t="s">
        <v>29</v>
      </c>
      <c r="F24" s="241"/>
      <c r="G24" s="241"/>
      <c r="H24" s="242"/>
      <c r="I24" s="242"/>
      <c r="J24" s="242" t="s">
        <v>148</v>
      </c>
      <c r="K24" s="242" t="s">
        <v>148</v>
      </c>
      <c r="L24" s="245"/>
      <c r="M24" s="254"/>
      <c r="N24" s="254" t="s">
        <v>148</v>
      </c>
      <c r="O24" s="246" t="s">
        <v>148</v>
      </c>
    </row>
    <row r="25" spans="1:15" x14ac:dyDescent="0.3">
      <c r="A25" s="240"/>
      <c r="B25" s="242">
        <v>22</v>
      </c>
      <c r="C25" s="240"/>
      <c r="D25" s="251" t="s">
        <v>89</v>
      </c>
      <c r="E25" s="243" t="s">
        <v>29</v>
      </c>
      <c r="F25" s="241"/>
      <c r="G25" s="241"/>
      <c r="H25" s="242"/>
      <c r="I25" s="242"/>
      <c r="J25" s="242" t="s">
        <v>148</v>
      </c>
      <c r="K25" s="242" t="s">
        <v>148</v>
      </c>
      <c r="L25" s="247"/>
      <c r="M25" s="255"/>
      <c r="N25" s="255" t="s">
        <v>148</v>
      </c>
      <c r="O25" s="248" t="s">
        <v>148</v>
      </c>
    </row>
    <row r="26" spans="1:15" x14ac:dyDescent="0.3">
      <c r="A26" s="240"/>
      <c r="B26" s="242">
        <v>23</v>
      </c>
      <c r="C26" s="240"/>
      <c r="D26" s="251" t="s">
        <v>90</v>
      </c>
      <c r="E26" s="243" t="s">
        <v>29</v>
      </c>
      <c r="F26" s="241"/>
      <c r="G26" s="241"/>
      <c r="H26" s="242"/>
      <c r="I26" s="242"/>
      <c r="J26" s="242" t="s">
        <v>148</v>
      </c>
      <c r="K26" s="242" t="s">
        <v>148</v>
      </c>
      <c r="L26" s="247"/>
      <c r="M26" s="255"/>
      <c r="N26" s="255" t="s">
        <v>148</v>
      </c>
      <c r="O26" s="248" t="s">
        <v>148</v>
      </c>
    </row>
    <row r="27" spans="1:15" x14ac:dyDescent="0.3">
      <c r="A27" s="240"/>
      <c r="B27" s="242">
        <v>24</v>
      </c>
      <c r="C27" s="240"/>
      <c r="D27" s="251" t="s">
        <v>91</v>
      </c>
      <c r="E27" s="243" t="s">
        <v>29</v>
      </c>
      <c r="F27" s="241"/>
      <c r="G27" s="241"/>
      <c r="H27" s="242"/>
      <c r="I27" s="242"/>
      <c r="J27" s="242" t="s">
        <v>148</v>
      </c>
      <c r="K27" s="242" t="s">
        <v>148</v>
      </c>
      <c r="L27" s="249"/>
      <c r="M27" s="256"/>
      <c r="N27" s="256" t="s">
        <v>148</v>
      </c>
      <c r="O27" s="250" t="s">
        <v>148</v>
      </c>
    </row>
    <row r="28" spans="1:15" x14ac:dyDescent="0.3">
      <c r="A28" s="240">
        <v>7</v>
      </c>
      <c r="B28" s="242">
        <v>25</v>
      </c>
      <c r="C28" s="240" t="s">
        <v>47</v>
      </c>
      <c r="D28" s="251" t="s">
        <v>76</v>
      </c>
      <c r="E28" s="242" t="s">
        <v>30</v>
      </c>
      <c r="F28" s="241"/>
      <c r="G28" s="241"/>
      <c r="H28" s="242" t="s">
        <v>148</v>
      </c>
      <c r="I28" s="242" t="s">
        <v>148</v>
      </c>
      <c r="J28" s="242"/>
      <c r="K28" s="242"/>
      <c r="L28" s="245" t="s">
        <v>148</v>
      </c>
      <c r="M28" s="254" t="s">
        <v>148</v>
      </c>
      <c r="N28" s="254"/>
      <c r="O28" s="246"/>
    </row>
    <row r="29" spans="1:15" x14ac:dyDescent="0.3">
      <c r="A29" s="240"/>
      <c r="B29" s="242">
        <v>26</v>
      </c>
      <c r="C29" s="240"/>
      <c r="D29" s="251" t="s">
        <v>77</v>
      </c>
      <c r="E29" s="242" t="s">
        <v>30</v>
      </c>
      <c r="F29" s="241"/>
      <c r="G29" s="241"/>
      <c r="H29" s="242" t="s">
        <v>148</v>
      </c>
      <c r="I29" s="242" t="s">
        <v>148</v>
      </c>
      <c r="J29" s="242"/>
      <c r="K29" s="242"/>
      <c r="L29" s="247" t="s">
        <v>148</v>
      </c>
      <c r="M29" s="255" t="s">
        <v>148</v>
      </c>
      <c r="N29" s="255"/>
      <c r="O29" s="248"/>
    </row>
    <row r="30" spans="1:15" x14ac:dyDescent="0.3">
      <c r="A30" s="240"/>
      <c r="B30" s="242">
        <v>27</v>
      </c>
      <c r="C30" s="240"/>
      <c r="D30" s="251" t="s">
        <v>78</v>
      </c>
      <c r="E30" s="242" t="s">
        <v>30</v>
      </c>
      <c r="F30" s="241"/>
      <c r="G30" s="241"/>
      <c r="H30" s="242" t="s">
        <v>148</v>
      </c>
      <c r="I30" s="242" t="s">
        <v>148</v>
      </c>
      <c r="J30" s="242"/>
      <c r="K30" s="242"/>
      <c r="L30" s="247" t="s">
        <v>148</v>
      </c>
      <c r="M30" s="255" t="s">
        <v>148</v>
      </c>
      <c r="N30" s="255"/>
      <c r="O30" s="248"/>
    </row>
    <row r="31" spans="1:15" x14ac:dyDescent="0.3">
      <c r="A31" s="240"/>
      <c r="B31" s="242">
        <v>28</v>
      </c>
      <c r="C31" s="240"/>
      <c r="D31" s="251" t="s">
        <v>79</v>
      </c>
      <c r="E31" s="242" t="s">
        <v>30</v>
      </c>
      <c r="F31" s="241"/>
      <c r="G31" s="241"/>
      <c r="H31" s="242" t="s">
        <v>148</v>
      </c>
      <c r="I31" s="242" t="s">
        <v>148</v>
      </c>
      <c r="J31" s="242"/>
      <c r="K31" s="242"/>
      <c r="L31" s="249" t="s">
        <v>148</v>
      </c>
      <c r="M31" s="256" t="s">
        <v>148</v>
      </c>
      <c r="N31" s="256"/>
      <c r="O31" s="250"/>
    </row>
    <row r="32" spans="1:15" x14ac:dyDescent="0.3">
      <c r="A32" s="240">
        <v>8</v>
      </c>
      <c r="B32" s="242">
        <v>29</v>
      </c>
      <c r="C32" s="240" t="s">
        <v>48</v>
      </c>
      <c r="D32" s="251" t="s">
        <v>80</v>
      </c>
      <c r="E32" s="243" t="s">
        <v>29</v>
      </c>
      <c r="F32" s="241"/>
      <c r="G32" s="241"/>
      <c r="H32" s="242"/>
      <c r="I32" s="242"/>
      <c r="J32" s="242" t="s">
        <v>148</v>
      </c>
      <c r="K32" s="242" t="s">
        <v>148</v>
      </c>
      <c r="L32" s="245"/>
      <c r="M32" s="254"/>
      <c r="N32" s="254" t="s">
        <v>148</v>
      </c>
      <c r="O32" s="246" t="s">
        <v>148</v>
      </c>
    </row>
    <row r="33" spans="1:15" x14ac:dyDescent="0.3">
      <c r="A33" s="240"/>
      <c r="B33" s="242">
        <v>30</v>
      </c>
      <c r="C33" s="240"/>
      <c r="D33" s="251" t="s">
        <v>81</v>
      </c>
      <c r="E33" s="243" t="s">
        <v>29</v>
      </c>
      <c r="F33" s="241"/>
      <c r="G33" s="241"/>
      <c r="H33" s="242"/>
      <c r="I33" s="242"/>
      <c r="J33" s="242" t="s">
        <v>148</v>
      </c>
      <c r="K33" s="242" t="s">
        <v>148</v>
      </c>
      <c r="L33" s="247"/>
      <c r="M33" s="255"/>
      <c r="N33" s="255" t="s">
        <v>148</v>
      </c>
      <c r="O33" s="248" t="s">
        <v>148</v>
      </c>
    </row>
    <row r="34" spans="1:15" x14ac:dyDescent="0.3">
      <c r="A34" s="240"/>
      <c r="B34" s="242">
        <v>31</v>
      </c>
      <c r="C34" s="240"/>
      <c r="D34" s="251" t="s">
        <v>82</v>
      </c>
      <c r="E34" s="243" t="s">
        <v>29</v>
      </c>
      <c r="F34" s="241"/>
      <c r="G34" s="241"/>
      <c r="H34" s="242"/>
      <c r="I34" s="242"/>
      <c r="J34" s="242" t="s">
        <v>148</v>
      </c>
      <c r="K34" s="242" t="s">
        <v>148</v>
      </c>
      <c r="L34" s="247"/>
      <c r="M34" s="255"/>
      <c r="N34" s="255" t="s">
        <v>148</v>
      </c>
      <c r="O34" s="248" t="s">
        <v>148</v>
      </c>
    </row>
    <row r="35" spans="1:15" x14ac:dyDescent="0.3">
      <c r="A35" s="240"/>
      <c r="B35" s="242">
        <v>32</v>
      </c>
      <c r="C35" s="240"/>
      <c r="D35" s="251" t="s">
        <v>83</v>
      </c>
      <c r="E35" s="243" t="s">
        <v>29</v>
      </c>
      <c r="F35" s="241"/>
      <c r="G35" s="241"/>
      <c r="H35" s="242"/>
      <c r="I35" s="242"/>
      <c r="J35" s="242" t="s">
        <v>148</v>
      </c>
      <c r="K35" s="242" t="s">
        <v>148</v>
      </c>
      <c r="L35" s="249"/>
      <c r="M35" s="256"/>
      <c r="N35" s="256" t="s">
        <v>148</v>
      </c>
      <c r="O35" s="250" t="s">
        <v>148</v>
      </c>
    </row>
    <row r="36" spans="1:15" x14ac:dyDescent="0.3">
      <c r="A36" s="240">
        <v>9</v>
      </c>
      <c r="B36" s="242">
        <v>33</v>
      </c>
      <c r="C36" s="240" t="s">
        <v>40</v>
      </c>
      <c r="D36" s="251" t="s">
        <v>68</v>
      </c>
      <c r="E36" s="242" t="s">
        <v>30</v>
      </c>
      <c r="F36" s="241"/>
      <c r="G36" s="241"/>
      <c r="H36" s="242" t="s">
        <v>148</v>
      </c>
      <c r="I36" s="242" t="s">
        <v>148</v>
      </c>
      <c r="J36" s="242"/>
      <c r="K36" s="242"/>
      <c r="L36" s="245" t="s">
        <v>148</v>
      </c>
      <c r="M36" s="254" t="s">
        <v>148</v>
      </c>
      <c r="N36" s="254"/>
      <c r="O36" s="246"/>
    </row>
    <row r="37" spans="1:15" x14ac:dyDescent="0.3">
      <c r="A37" s="240"/>
      <c r="B37" s="242">
        <v>34</v>
      </c>
      <c r="C37" s="240"/>
      <c r="D37" s="251" t="s">
        <v>69</v>
      </c>
      <c r="E37" s="242" t="s">
        <v>30</v>
      </c>
      <c r="F37" s="241"/>
      <c r="G37" s="241"/>
      <c r="H37" s="242" t="s">
        <v>148</v>
      </c>
      <c r="I37" s="242" t="s">
        <v>148</v>
      </c>
      <c r="J37" s="242"/>
      <c r="K37" s="242"/>
      <c r="L37" s="247" t="s">
        <v>148</v>
      </c>
      <c r="M37" s="255" t="s">
        <v>148</v>
      </c>
      <c r="N37" s="255"/>
      <c r="O37" s="248"/>
    </row>
    <row r="38" spans="1:15" x14ac:dyDescent="0.3">
      <c r="A38" s="240"/>
      <c r="B38" s="242">
        <v>35</v>
      </c>
      <c r="C38" s="240"/>
      <c r="D38" s="251" t="s">
        <v>70</v>
      </c>
      <c r="E38" s="242" t="s">
        <v>30</v>
      </c>
      <c r="F38" s="241"/>
      <c r="G38" s="241"/>
      <c r="H38" s="242" t="s">
        <v>148</v>
      </c>
      <c r="I38" s="242" t="s">
        <v>148</v>
      </c>
      <c r="J38" s="242"/>
      <c r="K38" s="242"/>
      <c r="L38" s="247" t="s">
        <v>148</v>
      </c>
      <c r="M38" s="255" t="s">
        <v>148</v>
      </c>
      <c r="N38" s="255"/>
      <c r="O38" s="248"/>
    </row>
    <row r="39" spans="1:15" x14ac:dyDescent="0.3">
      <c r="A39" s="240"/>
      <c r="B39" s="242">
        <v>36</v>
      </c>
      <c r="C39" s="240"/>
      <c r="D39" s="251" t="s">
        <v>71</v>
      </c>
      <c r="E39" s="242" t="s">
        <v>30</v>
      </c>
      <c r="F39" s="241"/>
      <c r="G39" s="241"/>
      <c r="H39" s="242" t="s">
        <v>148</v>
      </c>
      <c r="I39" s="242" t="s">
        <v>148</v>
      </c>
      <c r="J39" s="242"/>
      <c r="K39" s="242"/>
      <c r="L39" s="249" t="s">
        <v>148</v>
      </c>
      <c r="M39" s="256" t="s">
        <v>148</v>
      </c>
      <c r="N39" s="256"/>
      <c r="O39" s="250"/>
    </row>
    <row r="40" spans="1:15" x14ac:dyDescent="0.3">
      <c r="A40" s="240">
        <v>10</v>
      </c>
      <c r="B40" s="242">
        <v>37</v>
      </c>
      <c r="C40" s="240" t="s">
        <v>41</v>
      </c>
      <c r="D40" s="251" t="s">
        <v>72</v>
      </c>
      <c r="E40" s="243" t="s">
        <v>29</v>
      </c>
      <c r="F40" s="241"/>
      <c r="G40" s="241"/>
      <c r="H40" s="242"/>
      <c r="I40" s="242"/>
      <c r="J40" s="242" t="s">
        <v>148</v>
      </c>
      <c r="K40" s="242" t="s">
        <v>148</v>
      </c>
      <c r="L40" s="245"/>
      <c r="M40" s="254"/>
      <c r="N40" s="254" t="s">
        <v>148</v>
      </c>
      <c r="O40" s="246" t="s">
        <v>148</v>
      </c>
    </row>
    <row r="41" spans="1:15" x14ac:dyDescent="0.3">
      <c r="A41" s="240"/>
      <c r="B41" s="242">
        <v>38</v>
      </c>
      <c r="C41" s="240"/>
      <c r="D41" s="251" t="s">
        <v>73</v>
      </c>
      <c r="E41" s="243" t="s">
        <v>29</v>
      </c>
      <c r="F41" s="241"/>
      <c r="G41" s="241"/>
      <c r="H41" s="242"/>
      <c r="I41" s="242"/>
      <c r="J41" s="242" t="s">
        <v>148</v>
      </c>
      <c r="K41" s="242" t="s">
        <v>148</v>
      </c>
      <c r="L41" s="247"/>
      <c r="M41" s="255"/>
      <c r="N41" s="255" t="s">
        <v>148</v>
      </c>
      <c r="O41" s="248" t="s">
        <v>148</v>
      </c>
    </row>
    <row r="42" spans="1:15" x14ac:dyDescent="0.3">
      <c r="A42" s="240"/>
      <c r="B42" s="242">
        <v>39</v>
      </c>
      <c r="C42" s="240"/>
      <c r="D42" s="251" t="s">
        <v>74</v>
      </c>
      <c r="E42" s="243" t="s">
        <v>29</v>
      </c>
      <c r="F42" s="241"/>
      <c r="G42" s="241"/>
      <c r="H42" s="242"/>
      <c r="I42" s="242"/>
      <c r="J42" s="242" t="s">
        <v>148</v>
      </c>
      <c r="K42" s="242" t="s">
        <v>148</v>
      </c>
      <c r="L42" s="247"/>
      <c r="M42" s="255"/>
      <c r="N42" s="255" t="s">
        <v>148</v>
      </c>
      <c r="O42" s="248" t="s">
        <v>148</v>
      </c>
    </row>
    <row r="43" spans="1:15" x14ac:dyDescent="0.3">
      <c r="A43" s="240"/>
      <c r="B43" s="242">
        <v>40</v>
      </c>
      <c r="C43" s="240"/>
      <c r="D43" s="251" t="s">
        <v>75</v>
      </c>
      <c r="E43" s="243" t="s">
        <v>29</v>
      </c>
      <c r="F43" s="241"/>
      <c r="G43" s="241"/>
      <c r="H43" s="242"/>
      <c r="I43" s="242"/>
      <c r="J43" s="242" t="s">
        <v>148</v>
      </c>
      <c r="K43" s="242" t="s">
        <v>148</v>
      </c>
      <c r="L43" s="249"/>
      <c r="M43" s="256"/>
      <c r="N43" s="256" t="s">
        <v>148</v>
      </c>
      <c r="O43" s="250" t="s">
        <v>148</v>
      </c>
    </row>
    <row r="44" spans="1:15" x14ac:dyDescent="0.3">
      <c r="A44" s="240">
        <v>11</v>
      </c>
      <c r="B44" s="242">
        <v>41</v>
      </c>
      <c r="C44" s="240" t="s">
        <v>37</v>
      </c>
      <c r="D44" s="251" t="s">
        <v>109</v>
      </c>
      <c r="E44" s="242" t="s">
        <v>30</v>
      </c>
      <c r="F44" s="241"/>
      <c r="G44" s="241"/>
      <c r="H44" s="242" t="s">
        <v>148</v>
      </c>
      <c r="I44" s="242" t="s">
        <v>148</v>
      </c>
      <c r="J44" s="242"/>
      <c r="K44" s="242"/>
      <c r="L44" s="245" t="s">
        <v>148</v>
      </c>
      <c r="M44" s="254" t="s">
        <v>148</v>
      </c>
      <c r="N44" s="254"/>
      <c r="O44" s="246"/>
    </row>
    <row r="45" spans="1:15" x14ac:dyDescent="0.3">
      <c r="A45" s="240"/>
      <c r="B45" s="242">
        <v>42</v>
      </c>
      <c r="C45" s="240"/>
      <c r="D45" s="251" t="s">
        <v>110</v>
      </c>
      <c r="E45" s="242" t="s">
        <v>30</v>
      </c>
      <c r="F45" s="241"/>
      <c r="G45" s="241"/>
      <c r="H45" s="242" t="s">
        <v>148</v>
      </c>
      <c r="I45" s="242" t="s">
        <v>148</v>
      </c>
      <c r="J45" s="242"/>
      <c r="K45" s="242"/>
      <c r="L45" s="247" t="s">
        <v>148</v>
      </c>
      <c r="M45" s="255" t="s">
        <v>148</v>
      </c>
      <c r="N45" s="255"/>
      <c r="O45" s="248"/>
    </row>
    <row r="46" spans="1:15" x14ac:dyDescent="0.3">
      <c r="A46" s="240"/>
      <c r="B46" s="242">
        <v>43</v>
      </c>
      <c r="C46" s="240"/>
      <c r="D46" s="251" t="s">
        <v>111</v>
      </c>
      <c r="E46" s="242" t="s">
        <v>30</v>
      </c>
      <c r="F46" s="241"/>
      <c r="G46" s="241"/>
      <c r="H46" s="242" t="s">
        <v>148</v>
      </c>
      <c r="I46" s="242" t="s">
        <v>148</v>
      </c>
      <c r="J46" s="242"/>
      <c r="K46" s="242"/>
      <c r="L46" s="247" t="s">
        <v>148</v>
      </c>
      <c r="M46" s="255" t="s">
        <v>148</v>
      </c>
      <c r="N46" s="255"/>
      <c r="O46" s="248"/>
    </row>
    <row r="47" spans="1:15" x14ac:dyDescent="0.3">
      <c r="A47" s="240"/>
      <c r="B47" s="242">
        <v>44</v>
      </c>
      <c r="C47" s="240"/>
      <c r="D47" s="251" t="s">
        <v>112</v>
      </c>
      <c r="E47" s="242" t="s">
        <v>30</v>
      </c>
      <c r="F47" s="241"/>
      <c r="G47" s="241"/>
      <c r="H47" s="242" t="s">
        <v>148</v>
      </c>
      <c r="I47" s="242" t="s">
        <v>148</v>
      </c>
      <c r="J47" s="242"/>
      <c r="K47" s="242"/>
      <c r="L47" s="249" t="s">
        <v>148</v>
      </c>
      <c r="M47" s="256" t="s">
        <v>148</v>
      </c>
      <c r="N47" s="256"/>
      <c r="O47" s="250"/>
    </row>
    <row r="48" spans="1:15" x14ac:dyDescent="0.3">
      <c r="A48" s="240">
        <v>12</v>
      </c>
      <c r="B48" s="242">
        <v>45</v>
      </c>
      <c r="C48" s="240" t="s">
        <v>38</v>
      </c>
      <c r="D48" s="251" t="s">
        <v>113</v>
      </c>
      <c r="E48" s="243" t="s">
        <v>29</v>
      </c>
      <c r="F48" s="241"/>
      <c r="G48" s="241"/>
      <c r="H48" s="242"/>
      <c r="I48" s="242"/>
      <c r="J48" s="242" t="s">
        <v>148</v>
      </c>
      <c r="K48" s="242" t="s">
        <v>148</v>
      </c>
      <c r="L48" s="245"/>
      <c r="M48" s="254"/>
      <c r="N48" s="254" t="s">
        <v>148</v>
      </c>
      <c r="O48" s="246" t="s">
        <v>148</v>
      </c>
    </row>
    <row r="49" spans="1:15" x14ac:dyDescent="0.3">
      <c r="A49" s="240"/>
      <c r="B49" s="242">
        <v>46</v>
      </c>
      <c r="C49" s="240"/>
      <c r="D49" s="251" t="s">
        <v>114</v>
      </c>
      <c r="E49" s="243" t="s">
        <v>29</v>
      </c>
      <c r="F49" s="241"/>
      <c r="G49" s="241"/>
      <c r="H49" s="242"/>
      <c r="I49" s="242"/>
      <c r="J49" s="242" t="s">
        <v>148</v>
      </c>
      <c r="K49" s="242" t="s">
        <v>148</v>
      </c>
      <c r="L49" s="247"/>
      <c r="M49" s="255"/>
      <c r="N49" s="255" t="s">
        <v>148</v>
      </c>
      <c r="O49" s="248" t="s">
        <v>148</v>
      </c>
    </row>
    <row r="50" spans="1:15" x14ac:dyDescent="0.3">
      <c r="A50" s="240"/>
      <c r="B50" s="242">
        <v>47</v>
      </c>
      <c r="C50" s="240"/>
      <c r="D50" s="251" t="s">
        <v>115</v>
      </c>
      <c r="E50" s="243" t="s">
        <v>29</v>
      </c>
      <c r="F50" s="241"/>
      <c r="G50" s="241"/>
      <c r="H50" s="242"/>
      <c r="I50" s="242"/>
      <c r="J50" s="242" t="s">
        <v>148</v>
      </c>
      <c r="K50" s="242" t="s">
        <v>148</v>
      </c>
      <c r="L50" s="247"/>
      <c r="M50" s="255"/>
      <c r="N50" s="255" t="s">
        <v>148</v>
      </c>
      <c r="O50" s="248" t="s">
        <v>148</v>
      </c>
    </row>
    <row r="51" spans="1:15" x14ac:dyDescent="0.3">
      <c r="A51" s="240"/>
      <c r="B51" s="242">
        <v>48</v>
      </c>
      <c r="C51" s="240"/>
      <c r="D51" s="251" t="s">
        <v>116</v>
      </c>
      <c r="E51" s="243" t="s">
        <v>29</v>
      </c>
      <c r="F51" s="241"/>
      <c r="G51" s="241"/>
      <c r="H51" s="242"/>
      <c r="I51" s="242"/>
      <c r="J51" s="242" t="s">
        <v>148</v>
      </c>
      <c r="K51" s="242" t="s">
        <v>148</v>
      </c>
      <c r="L51" s="249"/>
      <c r="M51" s="256"/>
      <c r="N51" s="256" t="s">
        <v>148</v>
      </c>
      <c r="O51" s="250" t="s">
        <v>148</v>
      </c>
    </row>
    <row r="52" spans="1:15" x14ac:dyDescent="0.3">
      <c r="A52" s="240">
        <v>13</v>
      </c>
      <c r="B52" s="242">
        <v>49</v>
      </c>
      <c r="C52" s="240" t="s">
        <v>100</v>
      </c>
      <c r="D52" s="251" t="s">
        <v>101</v>
      </c>
      <c r="E52" s="242" t="s">
        <v>30</v>
      </c>
      <c r="F52" s="241"/>
      <c r="G52" s="241"/>
      <c r="H52" s="242" t="s">
        <v>148</v>
      </c>
      <c r="I52" s="242" t="s">
        <v>148</v>
      </c>
      <c r="J52" s="242"/>
      <c r="K52" s="242"/>
      <c r="L52" s="245" t="s">
        <v>148</v>
      </c>
      <c r="M52" s="254" t="s">
        <v>148</v>
      </c>
      <c r="N52" s="254"/>
      <c r="O52" s="246"/>
    </row>
    <row r="53" spans="1:15" x14ac:dyDescent="0.3">
      <c r="A53" s="240"/>
      <c r="B53" s="242">
        <v>50</v>
      </c>
      <c r="C53" s="240"/>
      <c r="D53" s="251" t="s">
        <v>102</v>
      </c>
      <c r="E53" s="242" t="s">
        <v>30</v>
      </c>
      <c r="F53" s="241"/>
      <c r="G53" s="241"/>
      <c r="H53" s="242" t="s">
        <v>148</v>
      </c>
      <c r="I53" s="242" t="s">
        <v>148</v>
      </c>
      <c r="J53" s="242"/>
      <c r="K53" s="242"/>
      <c r="L53" s="247" t="s">
        <v>148</v>
      </c>
      <c r="M53" s="255" t="s">
        <v>148</v>
      </c>
      <c r="N53" s="255"/>
      <c r="O53" s="248"/>
    </row>
    <row r="54" spans="1:15" x14ac:dyDescent="0.3">
      <c r="A54" s="240"/>
      <c r="B54" s="242">
        <v>51</v>
      </c>
      <c r="C54" s="240"/>
      <c r="D54" s="251" t="s">
        <v>103</v>
      </c>
      <c r="E54" s="242" t="s">
        <v>30</v>
      </c>
      <c r="F54" s="241"/>
      <c r="G54" s="241"/>
      <c r="H54" s="242" t="s">
        <v>148</v>
      </c>
      <c r="I54" s="242" t="s">
        <v>148</v>
      </c>
      <c r="J54" s="242"/>
      <c r="K54" s="242"/>
      <c r="L54" s="247" t="s">
        <v>148</v>
      </c>
      <c r="M54" s="255" t="s">
        <v>148</v>
      </c>
      <c r="N54" s="255"/>
      <c r="O54" s="248"/>
    </row>
    <row r="55" spans="1:15" x14ac:dyDescent="0.3">
      <c r="A55" s="240"/>
      <c r="B55" s="242">
        <v>52</v>
      </c>
      <c r="C55" s="240"/>
      <c r="D55" s="251" t="s">
        <v>104</v>
      </c>
      <c r="E55" s="242" t="s">
        <v>30</v>
      </c>
      <c r="F55" s="241"/>
      <c r="G55" s="241"/>
      <c r="H55" s="242" t="s">
        <v>148</v>
      </c>
      <c r="I55" s="242" t="s">
        <v>148</v>
      </c>
      <c r="J55" s="242"/>
      <c r="K55" s="242"/>
      <c r="L55" s="249" t="s">
        <v>148</v>
      </c>
      <c r="M55" s="256" t="s">
        <v>148</v>
      </c>
      <c r="N55" s="256"/>
      <c r="O55" s="250"/>
    </row>
    <row r="56" spans="1:15" x14ac:dyDescent="0.3">
      <c r="A56" s="240">
        <v>14</v>
      </c>
      <c r="B56" s="242">
        <v>53</v>
      </c>
      <c r="C56" s="240" t="s">
        <v>105</v>
      </c>
      <c r="D56" s="251" t="s">
        <v>119</v>
      </c>
      <c r="E56" s="242" t="s">
        <v>30</v>
      </c>
      <c r="F56" s="241"/>
      <c r="G56" s="241"/>
      <c r="H56" s="242" t="s">
        <v>148</v>
      </c>
      <c r="I56" s="242" t="s">
        <v>148</v>
      </c>
      <c r="J56" s="242"/>
      <c r="K56" s="242"/>
      <c r="L56" s="245" t="s">
        <v>148</v>
      </c>
      <c r="M56" s="254" t="s">
        <v>148</v>
      </c>
      <c r="N56" s="254"/>
      <c r="O56" s="246"/>
    </row>
    <row r="57" spans="1:15" x14ac:dyDescent="0.3">
      <c r="A57" s="240"/>
      <c r="B57" s="242">
        <v>54</v>
      </c>
      <c r="C57" s="240"/>
      <c r="D57" s="251" t="s">
        <v>120</v>
      </c>
      <c r="E57" s="242" t="s">
        <v>30</v>
      </c>
      <c r="F57" s="241"/>
      <c r="G57" s="241"/>
      <c r="H57" s="242" t="s">
        <v>148</v>
      </c>
      <c r="I57" s="242" t="s">
        <v>148</v>
      </c>
      <c r="J57" s="242"/>
      <c r="K57" s="242"/>
      <c r="L57" s="247" t="s">
        <v>148</v>
      </c>
      <c r="M57" s="255" t="s">
        <v>148</v>
      </c>
      <c r="N57" s="255"/>
      <c r="O57" s="248"/>
    </row>
    <row r="58" spans="1:15" x14ac:dyDescent="0.3">
      <c r="A58" s="240"/>
      <c r="B58" s="242">
        <v>55</v>
      </c>
      <c r="C58" s="240"/>
      <c r="D58" s="251" t="s">
        <v>121</v>
      </c>
      <c r="E58" s="242" t="s">
        <v>30</v>
      </c>
      <c r="F58" s="241"/>
      <c r="G58" s="241"/>
      <c r="H58" s="242" t="s">
        <v>148</v>
      </c>
      <c r="I58" s="242" t="s">
        <v>148</v>
      </c>
      <c r="J58" s="242"/>
      <c r="K58" s="242"/>
      <c r="L58" s="247" t="s">
        <v>148</v>
      </c>
      <c r="M58" s="255" t="s">
        <v>148</v>
      </c>
      <c r="N58" s="255"/>
      <c r="O58" s="248"/>
    </row>
    <row r="59" spans="1:15" x14ac:dyDescent="0.3">
      <c r="A59" s="240"/>
      <c r="B59" s="242">
        <v>56</v>
      </c>
      <c r="C59" s="240"/>
      <c r="D59" s="251" t="s">
        <v>122</v>
      </c>
      <c r="E59" s="242" t="s">
        <v>30</v>
      </c>
      <c r="F59" s="241"/>
      <c r="G59" s="241"/>
      <c r="H59" s="242" t="s">
        <v>148</v>
      </c>
      <c r="I59" s="242" t="s">
        <v>148</v>
      </c>
      <c r="J59" s="242"/>
      <c r="K59" s="242"/>
      <c r="L59" s="249" t="s">
        <v>148</v>
      </c>
      <c r="M59" s="256" t="s">
        <v>148</v>
      </c>
      <c r="N59" s="256"/>
      <c r="O59" s="250"/>
    </row>
    <row r="60" spans="1:15" x14ac:dyDescent="0.3">
      <c r="A60" s="240">
        <v>15</v>
      </c>
      <c r="B60" s="242">
        <v>57</v>
      </c>
      <c r="C60" s="240" t="s">
        <v>106</v>
      </c>
      <c r="D60" s="251" t="s">
        <v>123</v>
      </c>
      <c r="E60" s="243" t="s">
        <v>29</v>
      </c>
      <c r="F60" s="241"/>
      <c r="G60" s="241"/>
      <c r="H60" s="242"/>
      <c r="I60" s="242"/>
      <c r="J60" s="242" t="s">
        <v>148</v>
      </c>
      <c r="K60" s="242" t="s">
        <v>148</v>
      </c>
      <c r="L60" s="245"/>
      <c r="M60" s="254"/>
      <c r="N60" s="254" t="s">
        <v>148</v>
      </c>
      <c r="O60" s="246" t="s">
        <v>148</v>
      </c>
    </row>
    <row r="61" spans="1:15" x14ac:dyDescent="0.3">
      <c r="A61" s="240"/>
      <c r="B61" s="242">
        <v>58</v>
      </c>
      <c r="C61" s="240"/>
      <c r="D61" s="251" t="s">
        <v>124</v>
      </c>
      <c r="E61" s="243" t="s">
        <v>29</v>
      </c>
      <c r="F61" s="241"/>
      <c r="G61" s="241"/>
      <c r="H61" s="242"/>
      <c r="I61" s="242"/>
      <c r="J61" s="242" t="s">
        <v>148</v>
      </c>
      <c r="K61" s="242" t="s">
        <v>148</v>
      </c>
      <c r="L61" s="247"/>
      <c r="M61" s="255"/>
      <c r="N61" s="255" t="s">
        <v>148</v>
      </c>
      <c r="O61" s="248" t="s">
        <v>148</v>
      </c>
    </row>
    <row r="62" spans="1:15" x14ac:dyDescent="0.3">
      <c r="A62" s="240"/>
      <c r="B62" s="242">
        <v>59</v>
      </c>
      <c r="C62" s="240"/>
      <c r="D62" s="251" t="s">
        <v>125</v>
      </c>
      <c r="E62" s="243" t="s">
        <v>29</v>
      </c>
      <c r="F62" s="241"/>
      <c r="G62" s="241"/>
      <c r="H62" s="242"/>
      <c r="I62" s="242"/>
      <c r="J62" s="242" t="s">
        <v>148</v>
      </c>
      <c r="K62" s="242" t="s">
        <v>148</v>
      </c>
      <c r="L62" s="247"/>
      <c r="M62" s="255"/>
      <c r="N62" s="255" t="s">
        <v>148</v>
      </c>
      <c r="O62" s="248" t="s">
        <v>148</v>
      </c>
    </row>
    <row r="63" spans="1:15" x14ac:dyDescent="0.3">
      <c r="A63" s="240"/>
      <c r="B63" s="242">
        <v>60</v>
      </c>
      <c r="C63" s="240"/>
      <c r="D63" s="251" t="s">
        <v>126</v>
      </c>
      <c r="E63" s="243" t="s">
        <v>29</v>
      </c>
      <c r="F63" s="241"/>
      <c r="G63" s="241"/>
      <c r="H63" s="242"/>
      <c r="I63" s="242"/>
      <c r="J63" s="242" t="s">
        <v>148</v>
      </c>
      <c r="K63" s="242" t="s">
        <v>148</v>
      </c>
      <c r="L63" s="249"/>
      <c r="M63" s="256"/>
      <c r="N63" s="256" t="s">
        <v>148</v>
      </c>
      <c r="O63" s="250" t="s">
        <v>148</v>
      </c>
    </row>
  </sheetData>
  <mergeCells count="39">
    <mergeCell ref="C48:C51"/>
    <mergeCell ref="C52:C55"/>
    <mergeCell ref="C56:C59"/>
    <mergeCell ref="C60:C63"/>
    <mergeCell ref="C24:C27"/>
    <mergeCell ref="C28:C31"/>
    <mergeCell ref="C32:C35"/>
    <mergeCell ref="C36:C39"/>
    <mergeCell ref="C40:C43"/>
    <mergeCell ref="C44:C47"/>
    <mergeCell ref="A52:A55"/>
    <mergeCell ref="A56:A59"/>
    <mergeCell ref="A60:A63"/>
    <mergeCell ref="C4:C7"/>
    <mergeCell ref="C8:C11"/>
    <mergeCell ref="C12:C15"/>
    <mergeCell ref="C16:C19"/>
    <mergeCell ref="C20:C23"/>
    <mergeCell ref="A28:A31"/>
    <mergeCell ref="A32:A35"/>
    <mergeCell ref="A36:A39"/>
    <mergeCell ref="A40:A43"/>
    <mergeCell ref="A44:A47"/>
    <mergeCell ref="A48:A51"/>
    <mergeCell ref="A4:A7"/>
    <mergeCell ref="A8:A11"/>
    <mergeCell ref="A12:A15"/>
    <mergeCell ref="A16:A19"/>
    <mergeCell ref="A20:A23"/>
    <mergeCell ref="A24:A27"/>
    <mergeCell ref="H2:I2"/>
    <mergeCell ref="J2:K2"/>
    <mergeCell ref="L2:M2"/>
    <mergeCell ref="N2:O2"/>
    <mergeCell ref="A2:A3"/>
    <mergeCell ref="B2:B3"/>
    <mergeCell ref="C2:C3"/>
    <mergeCell ref="D2:D3"/>
    <mergeCell ref="E2:E3"/>
  </mergeCells>
  <phoneticPr fontId="1"/>
  <pageMargins left="0.82677165354330717" right="0.82677165354330717" top="0.74803149606299213" bottom="0.74803149606299213" header="0.31496062992125984" footer="0.31496062992125984"/>
  <pageSetup paperSize="9" scale="83" orientation="portrait" r:id="rId1"/>
  <headerFooter>
    <oddHeader>&amp;C&amp;14令和4年度(2022)5月22日　東尾張エリア大会＠春日井市総合体育館3階弓道場&amp;11
&amp;"ＭＳ Ｐ明朝,太字"&amp;22&amp;U立順表</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4</vt:i4>
      </vt:variant>
    </vt:vector>
  </HeadingPairs>
  <TitlesOfParts>
    <vt:vector size="19" baseType="lpstr">
      <vt:lpstr>選手</vt:lpstr>
      <vt:lpstr>記録</vt:lpstr>
      <vt:lpstr>成績　団体</vt:lpstr>
      <vt:lpstr>成績　個人</vt:lpstr>
      <vt:lpstr>春日井</vt:lpstr>
      <vt:lpstr>西春日井</vt:lpstr>
      <vt:lpstr>尾張旭</vt:lpstr>
      <vt:lpstr>日進</vt:lpstr>
      <vt:lpstr>瀬戸</vt:lpstr>
      <vt:lpstr>長久手</vt:lpstr>
      <vt:lpstr>豊明</vt:lpstr>
      <vt:lpstr>愛知</vt:lpstr>
      <vt:lpstr>記録 (2)</vt:lpstr>
      <vt:lpstr>立順表</vt:lpstr>
      <vt:lpstr>選手 (2)</vt:lpstr>
      <vt:lpstr>記録!Print_Area</vt:lpstr>
      <vt:lpstr>'記録 (2)'!Print_Area</vt:lpstr>
      <vt:lpstr>'選手 (2)'!Print_Area</vt:lpstr>
      <vt:lpstr>立順表!Print_Area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今井厚文</cp:lastModifiedBy>
  <cp:lastPrinted>2022-04-25T14:31:19Z</cp:lastPrinted>
  <dcterms:created xsi:type="dcterms:W3CDTF">2015-06-05T18:17:20Z</dcterms:created>
  <dcterms:modified xsi:type="dcterms:W3CDTF">2022-04-25T14:43:20Z</dcterms:modified>
</cp:coreProperties>
</file>